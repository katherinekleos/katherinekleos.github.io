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aty/Downloads/"/>
    </mc:Choice>
  </mc:AlternateContent>
  <xr:revisionPtr revIDLastSave="0" documentId="13_ncr:1_{2D1D32D8-C5FA-2E42-BCBB-5E4EBA5B120C}" xr6:coauthVersionLast="47" xr6:coauthVersionMax="47" xr10:uidLastSave="{00000000-0000-0000-0000-000000000000}"/>
  <bookViews>
    <workbookView xWindow="2780" yWindow="660" windowWidth="29100" windowHeight="19960" xr2:uid="{00000000-000D-0000-FFFF-FFFF00000000}"/>
  </bookViews>
  <sheets>
    <sheet name="LOE Supplement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AC34" i="1" l="1"/>
  <c r="AB55" i="1" s="1"/>
  <c r="AC55" i="1" s="1"/>
  <c r="AA34" i="1"/>
  <c r="Z55" i="1" s="1"/>
  <c r="AA55" i="1" s="1"/>
  <c r="Y34" i="1"/>
  <c r="X55" i="1" s="1"/>
  <c r="Y55" i="1" s="1"/>
  <c r="W34" i="1"/>
  <c r="U34" i="1"/>
  <c r="S34" i="1"/>
  <c r="Q34" i="1"/>
  <c r="O34" i="1"/>
  <c r="M34" i="1"/>
  <c r="K34" i="1"/>
  <c r="I34" i="1"/>
  <c r="G34" i="1"/>
  <c r="F55" i="1" s="1"/>
  <c r="G55" i="1" s="1"/>
  <c r="V55" i="1"/>
  <c r="W55" i="1" s="1"/>
  <c r="T55" i="1"/>
  <c r="U55" i="1" s="1"/>
  <c r="R55" i="1"/>
  <c r="S55" i="1" s="1"/>
  <c r="P55" i="1"/>
  <c r="Q55" i="1" s="1"/>
  <c r="N55" i="1"/>
  <c r="O55" i="1" s="1"/>
  <c r="L55" i="1"/>
  <c r="M55" i="1" s="1"/>
  <c r="J55" i="1"/>
  <c r="K55" i="1" s="1"/>
  <c r="H55" i="1"/>
  <c r="I55" i="1" s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54" i="1" s="1"/>
  <c r="AC54" i="1" s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V26" i="1"/>
  <c r="V20" i="1"/>
  <c r="V21" i="1"/>
  <c r="V22" i="1"/>
  <c r="V23" i="1"/>
  <c r="V24" i="1"/>
  <c r="V25" i="1"/>
  <c r="V27" i="1"/>
  <c r="V28" i="1"/>
  <c r="V29" i="1"/>
  <c r="V30" i="1"/>
  <c r="V31" i="1"/>
  <c r="V32" i="1"/>
  <c r="V33" i="1"/>
  <c r="V19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19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L28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19" i="1"/>
  <c r="J33" i="1"/>
  <c r="J32" i="1"/>
  <c r="J31" i="1"/>
  <c r="J30" i="1"/>
  <c r="J20" i="1"/>
  <c r="J21" i="1"/>
  <c r="J22" i="1"/>
  <c r="J23" i="1"/>
  <c r="J24" i="1"/>
  <c r="J25" i="1"/>
  <c r="J27" i="1"/>
  <c r="J28" i="1"/>
  <c r="J29" i="1"/>
  <c r="J19" i="1"/>
  <c r="H33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9" i="1"/>
  <c r="F21" i="1"/>
  <c r="F20" i="1"/>
  <c r="F19" i="1"/>
  <c r="F22" i="1"/>
  <c r="F23" i="1"/>
  <c r="F24" i="1"/>
  <c r="F25" i="1"/>
  <c r="F26" i="1"/>
  <c r="F27" i="1"/>
  <c r="F28" i="1"/>
  <c r="F29" i="1"/>
  <c r="F30" i="1"/>
  <c r="F31" i="1"/>
  <c r="F32" i="1"/>
  <c r="F33" i="1"/>
  <c r="B10" i="1" l="1"/>
  <c r="B5" i="1" s="1"/>
  <c r="B7" i="1"/>
  <c r="AD19" i="1"/>
  <c r="E54" i="1"/>
  <c r="D54" i="1"/>
  <c r="C54" i="1"/>
  <c r="B54" i="1"/>
  <c r="A54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40" i="1"/>
  <c r="B12" i="1" l="1"/>
  <c r="B13" i="1" s="1"/>
  <c r="L41" i="1"/>
  <c r="M41" i="1" s="1"/>
  <c r="L40" i="1"/>
  <c r="M40" i="1" s="1"/>
  <c r="J41" i="1"/>
  <c r="K41" i="1" s="1"/>
  <c r="F41" i="1"/>
  <c r="G41" i="1" s="1"/>
  <c r="F40" i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5" i="1"/>
  <c r="AC45" i="1" s="1"/>
  <c r="AB47" i="1"/>
  <c r="AC47" i="1" s="1"/>
  <c r="AB46" i="1"/>
  <c r="AC46" i="1" s="1"/>
  <c r="AB44" i="1"/>
  <c r="AC44" i="1" s="1"/>
  <c r="AB43" i="1"/>
  <c r="AC43" i="1" s="1"/>
  <c r="AB42" i="1"/>
  <c r="AC42" i="1" s="1"/>
  <c r="AB41" i="1"/>
  <c r="AC41" i="1" s="1"/>
  <c r="AB40" i="1"/>
  <c r="AC40" i="1" s="1"/>
  <c r="Z53" i="1"/>
  <c r="AA53" i="1" s="1"/>
  <c r="Z54" i="1"/>
  <c r="AA54" i="1" s="1"/>
  <c r="Z50" i="1"/>
  <c r="AA50" i="1" s="1"/>
  <c r="Z52" i="1"/>
  <c r="AA52" i="1" s="1"/>
  <c r="Z51" i="1"/>
  <c r="AA51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X53" i="1"/>
  <c r="Y53" i="1" s="1"/>
  <c r="X52" i="1"/>
  <c r="Y52" i="1" s="1"/>
  <c r="X50" i="1"/>
  <c r="Y50" i="1" s="1"/>
  <c r="Z40" i="1"/>
  <c r="AA40" i="1" s="1"/>
  <c r="X48" i="1"/>
  <c r="Y48" i="1" s="1"/>
  <c r="X47" i="1"/>
  <c r="Y47" i="1" s="1"/>
  <c r="X44" i="1"/>
  <c r="Y44" i="1" s="1"/>
  <c r="X54" i="1"/>
  <c r="Y54" i="1" s="1"/>
  <c r="X51" i="1"/>
  <c r="Y51" i="1" s="1"/>
  <c r="X43" i="1"/>
  <c r="Y43" i="1" s="1"/>
  <c r="X42" i="1"/>
  <c r="Y42" i="1" s="1"/>
  <c r="X49" i="1"/>
  <c r="Y49" i="1" s="1"/>
  <c r="X46" i="1"/>
  <c r="Y46" i="1" s="1"/>
  <c r="X45" i="1"/>
  <c r="Y45" i="1" s="1"/>
  <c r="X40" i="1"/>
  <c r="Y40" i="1" s="1"/>
  <c r="X41" i="1"/>
  <c r="Y41" i="1" s="1"/>
  <c r="V53" i="1"/>
  <c r="W53" i="1" s="1"/>
  <c r="V48" i="1"/>
  <c r="W48" i="1" s="1"/>
  <c r="V52" i="1"/>
  <c r="W52" i="1" s="1"/>
  <c r="V47" i="1"/>
  <c r="W47" i="1" s="1"/>
  <c r="V46" i="1"/>
  <c r="W46" i="1" s="1"/>
  <c r="V45" i="1"/>
  <c r="W45" i="1" s="1"/>
  <c r="V54" i="1"/>
  <c r="W54" i="1" s="1"/>
  <c r="V51" i="1"/>
  <c r="W51" i="1" s="1"/>
  <c r="V50" i="1"/>
  <c r="W50" i="1" s="1"/>
  <c r="V49" i="1"/>
  <c r="W49" i="1" s="1"/>
  <c r="V44" i="1"/>
  <c r="W44" i="1" s="1"/>
  <c r="T54" i="1"/>
  <c r="U54" i="1" s="1"/>
  <c r="V43" i="1"/>
  <c r="W43" i="1" s="1"/>
  <c r="T53" i="1"/>
  <c r="U53" i="1" s="1"/>
  <c r="V42" i="1"/>
  <c r="W42" i="1" s="1"/>
  <c r="T52" i="1"/>
  <c r="U52" i="1" s="1"/>
  <c r="V41" i="1"/>
  <c r="W41" i="1" s="1"/>
  <c r="T51" i="1"/>
  <c r="U51" i="1" s="1"/>
  <c r="T50" i="1"/>
  <c r="U50" i="1" s="1"/>
  <c r="T49" i="1"/>
  <c r="U49" i="1" s="1"/>
  <c r="V40" i="1"/>
  <c r="W40" i="1" s="1"/>
  <c r="T48" i="1"/>
  <c r="U48" i="1" s="1"/>
  <c r="T45" i="1"/>
  <c r="U45" i="1" s="1"/>
  <c r="T44" i="1"/>
  <c r="U44" i="1" s="1"/>
  <c r="T43" i="1"/>
  <c r="U43" i="1" s="1"/>
  <c r="T42" i="1"/>
  <c r="U42" i="1" s="1"/>
  <c r="T47" i="1"/>
  <c r="U47" i="1" s="1"/>
  <c r="T46" i="1"/>
  <c r="U46" i="1" s="1"/>
  <c r="T41" i="1"/>
  <c r="U41" i="1" s="1"/>
  <c r="T40" i="1"/>
  <c r="U40" i="1" s="1"/>
  <c r="R40" i="1"/>
  <c r="S40" i="1" s="1"/>
  <c r="R54" i="1"/>
  <c r="S54" i="1" s="1"/>
  <c r="R52" i="1"/>
  <c r="S52" i="1" s="1"/>
  <c r="R51" i="1"/>
  <c r="S51" i="1" s="1"/>
  <c r="R53" i="1"/>
  <c r="S53" i="1" s="1"/>
  <c r="R49" i="1"/>
  <c r="S49" i="1" s="1"/>
  <c r="R47" i="1"/>
  <c r="S47" i="1" s="1"/>
  <c r="R50" i="1"/>
  <c r="S50" i="1" s="1"/>
  <c r="R48" i="1"/>
  <c r="S48" i="1" s="1"/>
  <c r="P54" i="1"/>
  <c r="Q54" i="1" s="1"/>
  <c r="R46" i="1"/>
  <c r="S46" i="1" s="1"/>
  <c r="P53" i="1"/>
  <c r="Q53" i="1" s="1"/>
  <c r="R45" i="1"/>
  <c r="S45" i="1" s="1"/>
  <c r="P52" i="1"/>
  <c r="Q52" i="1" s="1"/>
  <c r="R44" i="1"/>
  <c r="S44" i="1" s="1"/>
  <c r="P51" i="1"/>
  <c r="Q51" i="1" s="1"/>
  <c r="R43" i="1"/>
  <c r="S43" i="1" s="1"/>
  <c r="P50" i="1"/>
  <c r="Q50" i="1" s="1"/>
  <c r="R42" i="1"/>
  <c r="S42" i="1" s="1"/>
  <c r="P49" i="1"/>
  <c r="Q49" i="1" s="1"/>
  <c r="R41" i="1"/>
  <c r="S41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54" i="1"/>
  <c r="O54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L54" i="1"/>
  <c r="M54" i="1" s="1"/>
  <c r="L53" i="1"/>
  <c r="M53" i="1" s="1"/>
  <c r="L51" i="1"/>
  <c r="M51" i="1" s="1"/>
  <c r="L52" i="1"/>
  <c r="M52" i="1" s="1"/>
  <c r="L50" i="1"/>
  <c r="M50" i="1" s="1"/>
  <c r="L49" i="1"/>
  <c r="M49" i="1" s="1"/>
  <c r="L48" i="1"/>
  <c r="M48" i="1" s="1"/>
  <c r="L46" i="1"/>
  <c r="M46" i="1" s="1"/>
  <c r="L45" i="1"/>
  <c r="M45" i="1" s="1"/>
  <c r="L44" i="1"/>
  <c r="M44" i="1" s="1"/>
  <c r="L43" i="1"/>
  <c r="M43" i="1" s="1"/>
  <c r="L47" i="1"/>
  <c r="M47" i="1" s="1"/>
  <c r="L42" i="1"/>
  <c r="M42" i="1" s="1"/>
  <c r="J54" i="1"/>
  <c r="K54" i="1" s="1"/>
  <c r="J51" i="1"/>
  <c r="K51" i="1" s="1"/>
  <c r="J52" i="1"/>
  <c r="K52" i="1" s="1"/>
  <c r="J50" i="1"/>
  <c r="K50" i="1" s="1"/>
  <c r="J53" i="1"/>
  <c r="K53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H54" i="1"/>
  <c r="I54" i="1" s="1"/>
  <c r="H53" i="1"/>
  <c r="I53" i="1" s="1"/>
  <c r="H52" i="1"/>
  <c r="I52" i="1" s="1"/>
  <c r="H51" i="1"/>
  <c r="I51" i="1" s="1"/>
  <c r="H49" i="1"/>
  <c r="I49" i="1" s="1"/>
  <c r="H50" i="1"/>
  <c r="I50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F44" i="1"/>
  <c r="G44" i="1" s="1"/>
  <c r="F43" i="1"/>
  <c r="G43" i="1" s="1"/>
  <c r="F42" i="1"/>
  <c r="G42" i="1" s="1"/>
  <c r="G40" i="1" l="1"/>
  <c r="G56" i="1" s="1"/>
  <c r="AE19" i="1"/>
  <c r="J40" i="1"/>
  <c r="K40" i="1" s="1"/>
  <c r="F34" i="1"/>
  <c r="F54" i="1"/>
  <c r="G54" i="1" s="1"/>
  <c r="F53" i="1"/>
  <c r="G53" i="1" s="1"/>
  <c r="AE32" i="1"/>
  <c r="AE33" i="1"/>
  <c r="F47" i="1"/>
  <c r="G47" i="1" s="1"/>
  <c r="AE26" i="1"/>
  <c r="F46" i="1"/>
  <c r="G46" i="1" s="1"/>
  <c r="AE25" i="1"/>
  <c r="F49" i="1"/>
  <c r="G49" i="1" s="1"/>
  <c r="AE28" i="1"/>
  <c r="F50" i="1"/>
  <c r="AE29" i="1"/>
  <c r="F48" i="1"/>
  <c r="AE27" i="1"/>
  <c r="F51" i="1"/>
  <c r="AE30" i="1"/>
  <c r="F45" i="1"/>
  <c r="AE24" i="1"/>
  <c r="F52" i="1"/>
  <c r="AE31" i="1"/>
  <c r="P34" i="1"/>
  <c r="P56" i="1" s="1"/>
  <c r="J34" i="1"/>
  <c r="L34" i="1"/>
  <c r="L56" i="1" s="1"/>
  <c r="X34" i="1"/>
  <c r="AE23" i="1"/>
  <c r="V34" i="1"/>
  <c r="V56" i="1" s="1"/>
  <c r="AE22" i="1"/>
  <c r="AF22" i="1" s="1"/>
  <c r="AG22" i="1" s="1"/>
  <c r="AE42" i="1"/>
  <c r="AF42" i="1" s="1"/>
  <c r="AG42" i="1" s="1"/>
  <c r="AE41" i="1"/>
  <c r="AF41" i="1" s="1"/>
  <c r="AG41" i="1" s="1"/>
  <c r="AE21" i="1"/>
  <c r="AF21" i="1" s="1"/>
  <c r="AG21" i="1" s="1"/>
  <c r="AB34" i="1"/>
  <c r="AE44" i="1"/>
  <c r="AE43" i="1"/>
  <c r="AF43" i="1" s="1"/>
  <c r="AG43" i="1" s="1"/>
  <c r="R34" i="1"/>
  <c r="AE40" i="1"/>
  <c r="H34" i="1"/>
  <c r="H56" i="1" s="1"/>
  <c r="Z34" i="1"/>
  <c r="N34" i="1"/>
  <c r="T34" i="1"/>
  <c r="AE20" i="1"/>
  <c r="AF19" i="1" l="1"/>
  <c r="AG19" i="1" s="1"/>
  <c r="AE45" i="1"/>
  <c r="AF45" i="1" s="1"/>
  <c r="AG45" i="1" s="1"/>
  <c r="G45" i="1"/>
  <c r="AE48" i="1"/>
  <c r="AF48" i="1" s="1"/>
  <c r="AG48" i="1" s="1"/>
  <c r="G48" i="1"/>
  <c r="AE52" i="1"/>
  <c r="AF52" i="1" s="1"/>
  <c r="AG52" i="1" s="1"/>
  <c r="G52" i="1"/>
  <c r="AD52" i="1" s="1"/>
  <c r="AE50" i="1"/>
  <c r="AF50" i="1" s="1"/>
  <c r="AG50" i="1" s="1"/>
  <c r="G50" i="1"/>
  <c r="AD50" i="1" s="1"/>
  <c r="AE51" i="1"/>
  <c r="AF51" i="1" s="1"/>
  <c r="AG51" i="1" s="1"/>
  <c r="G51" i="1"/>
  <c r="AD51" i="1" s="1"/>
  <c r="M56" i="1"/>
  <c r="X56" i="1"/>
  <c r="I56" i="1"/>
  <c r="J56" i="1"/>
  <c r="Z56" i="1"/>
  <c r="F56" i="1"/>
  <c r="AD34" i="1"/>
  <c r="W56" i="1"/>
  <c r="N56" i="1"/>
  <c r="AB56" i="1"/>
  <c r="Q56" i="1"/>
  <c r="R56" i="1"/>
  <c r="T56" i="1"/>
  <c r="AD54" i="1"/>
  <c r="AE54" i="1"/>
  <c r="AD47" i="1"/>
  <c r="AD43" i="1"/>
  <c r="U56" i="1"/>
  <c r="O56" i="1"/>
  <c r="AD42" i="1"/>
  <c r="AD49" i="1"/>
  <c r="K56" i="1"/>
  <c r="Y56" i="1"/>
  <c r="AD41" i="1"/>
  <c r="AA56" i="1"/>
  <c r="AD53" i="1"/>
  <c r="AC56" i="1"/>
  <c r="AD46" i="1"/>
  <c r="S56" i="1"/>
  <c r="AD40" i="1"/>
  <c r="AD44" i="1"/>
  <c r="AD45" i="1"/>
  <c r="AF28" i="1"/>
  <c r="AG28" i="1" s="1"/>
  <c r="AF25" i="1"/>
  <c r="AG25" i="1" s="1"/>
  <c r="AF26" i="1"/>
  <c r="AG26" i="1" s="1"/>
  <c r="AF33" i="1"/>
  <c r="AG33" i="1" s="1"/>
  <c r="AF27" i="1"/>
  <c r="AG27" i="1" s="1"/>
  <c r="AF29" i="1"/>
  <c r="AG29" i="1" s="1"/>
  <c r="AF31" i="1"/>
  <c r="AG31" i="1" s="1"/>
  <c r="AF24" i="1"/>
  <c r="AG24" i="1" s="1"/>
  <c r="AF30" i="1"/>
  <c r="AG30" i="1" s="1"/>
  <c r="AF32" i="1"/>
  <c r="AG32" i="1" s="1"/>
  <c r="AF23" i="1"/>
  <c r="AG23" i="1" s="1"/>
  <c r="AE53" i="1"/>
  <c r="AF53" i="1" s="1"/>
  <c r="AD48" i="1"/>
  <c r="AE49" i="1"/>
  <c r="AF49" i="1" s="1"/>
  <c r="AE46" i="1"/>
  <c r="AF46" i="1" s="1"/>
  <c r="AE47" i="1"/>
  <c r="AF47" i="1" s="1"/>
  <c r="AF44" i="1"/>
  <c r="AG44" i="1" s="1"/>
  <c r="AF20" i="1"/>
  <c r="AG20" i="1" s="1"/>
  <c r="AE34" i="1"/>
  <c r="AF40" i="1"/>
  <c r="AG40" i="1" s="1"/>
  <c r="AG34" i="1" l="1"/>
  <c r="AD55" i="1"/>
  <c r="AE55" i="1"/>
  <c r="AF55" i="1" s="1"/>
  <c r="AG55" i="1" s="1"/>
  <c r="AF54" i="1"/>
  <c r="AG54" i="1" s="1"/>
  <c r="AG53" i="1"/>
  <c r="AG46" i="1"/>
  <c r="AG47" i="1"/>
  <c r="AG49" i="1"/>
  <c r="AF34" i="1"/>
  <c r="AD56" i="1" l="1"/>
  <c r="AE56" i="1"/>
  <c r="AF56" i="1"/>
  <c r="AG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 Gruber</author>
  </authors>
  <commentList>
    <comment ref="B8" authorId="0" shapeId="0" xr:uid="{B60F4359-C6E3-1B4A-9B31-67105D80424D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Fringe as percent; example 0.305 = 30.5%.</t>
        </r>
      </text>
    </comment>
    <comment ref="B10" authorId="0" shapeId="0" xr:uid="{0D9DBDE5-F93C-004D-B9AA-537E72FDD5A1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The “Average Full Time Equivalent (FTE)” field is automatically calculated from the monthly FTE row and is intended as a planning summary only.</t>
        </r>
      </text>
    </comment>
    <comment ref="B11" authorId="0" shapeId="0" xr:uid="{27047357-155C-0346-BC31-2DAB3AC2D5BF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FTE reduces base salary proportionally. Supplement remains fixed unless “Scale with FTE” is set to Yes.</t>
        </r>
      </text>
    </comment>
    <comment ref="A15" authorId="0" shapeId="0" xr:uid="{0EF3003B-47F7-2946-AFE5-FC3D2753E7FB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Calculates LOE distributions using base salary only.
</t>
        </r>
        <r>
          <rPr>
            <sz val="10"/>
            <color rgb="FF000000"/>
            <rFont val="Calibri"/>
            <family val="2"/>
            <scheme val="minor"/>
          </rPr>
          <t xml:space="preserve">• Supplement compensation is excluded from calculations.
</t>
        </r>
        <r>
          <rPr>
            <sz val="10"/>
            <color rgb="FF000000"/>
            <rFont val="Calibri"/>
            <family val="2"/>
            <scheme val="minor"/>
          </rPr>
          <t xml:space="preserve">• Monthly dollar values calculate automatically from salary, FTE, and LOE percentages.
</t>
        </r>
        <r>
          <rPr>
            <sz val="10"/>
            <color rgb="FF000000"/>
            <rFont val="Calibri"/>
            <family val="2"/>
            <scheme val="minor"/>
          </rPr>
          <t xml:space="preserve">• Monthly LOE totals should equal 100%.
</t>
        </r>
      </text>
    </comment>
    <comment ref="G17" authorId="0" shapeId="0" xr:uid="{96C0D1EC-B14D-1942-B938-795324A2BFA8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• Monthly FTE cells are editable and default to 100%.
</t>
        </r>
        <r>
          <rPr>
            <sz val="10"/>
            <color rgb="FF000000"/>
            <rFont val="Calibri"/>
            <family val="2"/>
          </rPr>
          <t xml:space="preserve">• Update only months where appointment/FTE changes occur.
</t>
        </r>
        <r>
          <rPr>
            <sz val="10"/>
            <color rgb="FF000000"/>
            <rFont val="Calibri"/>
            <family val="2"/>
          </rPr>
          <t xml:space="preserve">• Yellow indicates FTE below 100%; red indicates FTE above 100%.
</t>
        </r>
        <r>
          <rPr>
            <sz val="10"/>
            <color rgb="FF000000"/>
            <rFont val="Calibri"/>
            <family val="2"/>
          </rPr>
          <t xml:space="preserve">• Monthly compensation calculations use each month’s FTE directly.
</t>
        </r>
      </text>
    </comment>
    <comment ref="A37" authorId="0" shapeId="0" xr:uid="{BBDA7A8F-9A0C-5C47-9480-9CAB2C39F21A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• Calculates LOE distributions using salary and supplement compensation.
</t>
        </r>
        <r>
          <rPr>
            <sz val="10"/>
            <color rgb="FF000000"/>
            <rFont val="Calibri"/>
            <family val="2"/>
            <scheme val="minor"/>
          </rPr>
          <t xml:space="preserve">• If supplement scaling is set to “Yes,” supplement amounts change proportionally with FTE.
</t>
        </r>
        <r>
          <rPr>
            <sz val="10"/>
            <color rgb="FF000000"/>
            <rFont val="Calibri"/>
            <family val="2"/>
            <scheme val="minor"/>
          </rPr>
          <t xml:space="preserve">• Monthly dollar values calculate automatically from salary, supplement logic, FTE, and LOE percentages.
</t>
        </r>
        <r>
          <rPr>
            <sz val="10"/>
            <color rgb="FF000000"/>
            <rFont val="Calibri"/>
            <family val="2"/>
            <scheme val="minor"/>
          </rPr>
          <t>• Monthly LOE totals should equal 100%.</t>
        </r>
      </text>
    </comment>
  </commentList>
</comments>
</file>

<file path=xl/sharedStrings.xml><?xml version="1.0" encoding="utf-8"?>
<sst xmlns="http://schemas.openxmlformats.org/spreadsheetml/2006/main" count="123" uniqueCount="56">
  <si>
    <t>PI Name</t>
  </si>
  <si>
    <t>Title</t>
  </si>
  <si>
    <t>Annual Base Salary</t>
  </si>
  <si>
    <t>Annual Supplement</t>
  </si>
  <si>
    <t>Fringe Rate</t>
  </si>
  <si>
    <t>Start Month</t>
  </si>
  <si>
    <t>Account Source</t>
  </si>
  <si>
    <t>Account Name</t>
  </si>
  <si>
    <t>Account #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</si>
  <si>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</si>
  <si>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</si>
  <si>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</si>
  <si>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</si>
  <si>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</si>
  <si>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</si>
  <si>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</si>
  <si>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</si>
  <si>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</si>
  <si>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</si>
  <si>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</si>
  <si>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</si>
  <si>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Average %</t>
  </si>
  <si>
    <t>Annual Salary</t>
  </si>
  <si>
    <t>Annual Fringe</t>
  </si>
  <si>
    <t>Annual Total</t>
  </si>
  <si>
    <t>Total</t>
  </si>
  <si>
    <t>PI &amp; Compensation Inputs</t>
  </si>
  <si>
    <t>Baseline LOE – Without Supplement</t>
  </si>
  <si>
    <t>Notes</t>
  </si>
  <si>
    <t>Dollar</t>
  </si>
  <si>
    <t>Percent</t>
  </si>
  <si>
    <t>Supplement Scales with FTE?</t>
  </si>
  <si>
    <t>Supplement</t>
  </si>
  <si>
    <t>Adjusted LOE - With Supplement</t>
  </si>
  <si>
    <t>FTE</t>
  </si>
  <si>
    <r>
      <rPr>
        <b/>
        <i/>
        <u/>
        <sz val="11"/>
        <color theme="0" tint="-0.499984740745262"/>
        <rFont val="Cambria (Headings)"/>
      </rPr>
      <t>Input Guidance</t>
    </r>
    <r>
      <rPr>
        <i/>
        <sz val="11"/>
        <color theme="0" tint="-0.499984740745262"/>
        <rFont val="Cambria (Headings)"/>
      </rPr>
      <t xml:space="preserve">
• Enter PI compensation inputs before entering LOE distributions.
• Monthly FTE cells are editable and default to 100%.
• Update only months where appointment/FTE changes.
• Yellow indicates FTE below 100%; red indicates FTE above 100%.
• Monthly calculations use each month’s FTE directly.
• Monthly LOE totals should equal 100%.
</t>
    </r>
    <r>
      <rPr>
        <b/>
        <i/>
        <u/>
        <sz val="11"/>
        <color theme="0" tint="-0.499984740745262"/>
        <rFont val="Cambria (Headings)"/>
      </rPr>
      <t>Summary Guidance</t>
    </r>
    <r>
      <rPr>
        <i/>
        <sz val="11"/>
        <color theme="0" tint="-0.499984740745262"/>
        <rFont val="Cambria (Headings)"/>
      </rPr>
      <t xml:space="preserve">
• Average values are calculated automatically from the monthly FTE row.
• “Without Supplement” excludes supplement compensation from calculations.
• “With Supplement” includes supplement compensation and scaling logic.
• Dollar values calculate automatically from salary, FTE, supplement logic, and LOE percentages.
• Changes to monthly FTE values automatically update monthly compensation calculations.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</si>
  <si>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Base Salary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</si>
  <si>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Supplement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</si>
  <si>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Full Time Equivalent (FTE)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</si>
  <si>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Monthly Salary w/Supplement</t>
    </r>
  </si>
  <si>
    <r>
      <rPr>
        <b/>
        <i/>
        <sz val="10"/>
        <rFont val="Cambria"/>
        <family val="1"/>
        <scheme val="major"/>
      </rPr>
      <t>Average</t>
    </r>
    <r>
      <rPr>
        <b/>
        <sz val="10"/>
        <rFont val="Cambria"/>
        <family val="1"/>
        <scheme val="major"/>
      </rPr>
      <t xml:space="preserve"> Total Monthly Cost (Salary + Supplement + Fringe)</t>
    </r>
  </si>
  <si>
    <t>Start Date</t>
  </si>
  <si>
    <t>End Date</t>
  </si>
  <si>
    <t>Designed by Katherine A. Gruber / Level of Effort with Supplement v2.0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</si>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</sst>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0.0%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1"/>
      <color theme="1" tint="0.34998626667073579"/>
      <name val="Cambria"/>
      <family val="1"/>
      <scheme val="maj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i/>
      <sz val="11"/>
      <color theme="0" tint="-0.499984740745262"/>
      <name val="Cambria (Headings)"/>
    </font>
    <font>
      <b/>
      <i/>
      <u/>
      <sz val="11"/>
      <color theme="0" tint="-0.499984740745262"/>
      <name val="Cambria (Headings)"/>
    </font>
    <font>
      <sz val="10"/>
      <color rgb="FF000000"/>
      <name val="Calibri"/>
      <family val="2"/>
      <scheme val="minor"/>
    </font>
    <font>
      <b/>
      <i/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4E78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DADADA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1F4E78"/>
      </bottom>
      <diagonal/>
    </border>
    <border>
      <left/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indexed="64"/>
      </left>
      <right/>
      <top style="thin">
        <color rgb="FFB7B7B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ashDotDot">
        <color indexed="64"/>
      </bottom>
      <diagonal/>
    </border>
    <border>
      <left/>
      <right style="thin">
        <color indexed="64"/>
      </right>
      <top style="thin">
        <color indexed="64"/>
      </top>
      <bottom style="dashDotDot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 applyProtection="1">
      <protection locked="0"/>
    </xf>
    <xf numFmtId="14" fontId="5" fillId="6" borderId="29" xfId="0" applyNumberFormat="1" applyFont="1" applyFill="1" applyBorder="1" applyProtection="1">
      <protection locked="0"/>
    </xf>
    <xf numFmtId="49" fontId="5" fillId="6" borderId="29" xfId="0" applyNumberFormat="1" applyFont="1" applyFill="1" applyBorder="1" applyProtection="1">
      <protection locked="0"/>
    </xf>
    <xf numFmtId="49" fontId="5" fillId="6" borderId="31" xfId="0" applyNumberFormat="1" applyFont="1" applyFill="1" applyBorder="1" applyProtection="1">
      <protection locked="0"/>
    </xf>
    <xf numFmtId="10" fontId="5" fillId="0" borderId="14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49" fontId="5" fillId="6" borderId="26" xfId="0" applyNumberFormat="1" applyFont="1" applyFill="1" applyBorder="1" applyProtection="1">
      <protection locked="0"/>
    </xf>
    <xf numFmtId="14" fontId="5" fillId="6" borderId="26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49" fontId="5" fillId="6" borderId="27" xfId="0" applyNumberFormat="1" applyFont="1" applyFill="1" applyBorder="1" applyProtection="1">
      <protection locked="0"/>
    </xf>
    <xf numFmtId="14" fontId="5" fillId="6" borderId="27" xfId="0" applyNumberFormat="1" applyFont="1" applyFill="1" applyBorder="1" applyProtection="1">
      <protection locked="0"/>
    </xf>
    <xf numFmtId="49" fontId="5" fillId="6" borderId="4" xfId="0" applyNumberFormat="1" applyFont="1" applyFill="1" applyBorder="1" applyProtection="1">
      <protection locked="0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4" fontId="4" fillId="5" borderId="15" xfId="1" applyFont="1" applyFill="1" applyBorder="1" applyProtection="1"/>
    <xf numFmtId="10" fontId="4" fillId="5" borderId="16" xfId="0" applyNumberFormat="1" applyFont="1" applyFill="1" applyBorder="1"/>
    <xf numFmtId="10" fontId="4" fillId="5" borderId="18" xfId="0" applyNumberFormat="1" applyFont="1" applyFill="1" applyBorder="1"/>
    <xf numFmtId="44" fontId="4" fillId="5" borderId="17" xfId="1" applyFont="1" applyFill="1" applyBorder="1" applyProtection="1"/>
    <xf numFmtId="10" fontId="4" fillId="5" borderId="22" xfId="0" applyNumberFormat="1" applyFont="1" applyFill="1" applyBorder="1"/>
    <xf numFmtId="44" fontId="4" fillId="5" borderId="22" xfId="1" applyFont="1" applyFill="1" applyBorder="1" applyProtection="1"/>
    <xf numFmtId="44" fontId="5" fillId="7" borderId="13" xfId="1" applyFont="1" applyFill="1" applyBorder="1" applyProtection="1"/>
    <xf numFmtId="10" fontId="5" fillId="7" borderId="21" xfId="0" applyNumberFormat="1" applyFont="1" applyFill="1" applyBorder="1"/>
    <xf numFmtId="44" fontId="5" fillId="7" borderId="21" xfId="1" applyFont="1" applyFill="1" applyBorder="1" applyProtection="1"/>
    <xf numFmtId="49" fontId="5" fillId="0" borderId="27" xfId="0" applyNumberFormat="1" applyFont="1" applyBorder="1" applyProtection="1">
      <protection locked="0"/>
    </xf>
    <xf numFmtId="14" fontId="5" fillId="0" borderId="27" xfId="0" applyNumberFormat="1" applyFont="1" applyBorder="1" applyProtection="1">
      <protection locked="0"/>
    </xf>
    <xf numFmtId="49" fontId="5" fillId="0" borderId="4" xfId="0" applyNumberFormat="1" applyFont="1" applyBorder="1" applyProtection="1">
      <protection locked="0"/>
    </xf>
    <xf numFmtId="49" fontId="5" fillId="7" borderId="29" xfId="0" applyNumberFormat="1" applyFont="1" applyFill="1" applyBorder="1"/>
    <xf numFmtId="14" fontId="5" fillId="7" borderId="29" xfId="0" applyNumberFormat="1" applyFont="1" applyFill="1" applyBorder="1"/>
    <xf numFmtId="49" fontId="5" fillId="7" borderId="31" xfId="0" applyNumberFormat="1" applyFont="1" applyFill="1" applyBorder="1"/>
    <xf numFmtId="10" fontId="5" fillId="7" borderId="14" xfId="0" applyNumberFormat="1" applyFont="1" applyFill="1" applyBorder="1"/>
    <xf numFmtId="49" fontId="5" fillId="7" borderId="26" xfId="0" applyNumberFormat="1" applyFont="1" applyFill="1" applyBorder="1"/>
    <xf numFmtId="14" fontId="5" fillId="7" borderId="26" xfId="0" applyNumberFormat="1" applyFont="1" applyFill="1" applyBorder="1"/>
    <xf numFmtId="49" fontId="5" fillId="7" borderId="1" xfId="0" applyNumberFormat="1" applyFont="1" applyFill="1" applyBorder="1"/>
    <xf numFmtId="0" fontId="3" fillId="8" borderId="33" xfId="0" applyFont="1" applyFill="1" applyBorder="1"/>
    <xf numFmtId="0" fontId="3" fillId="8" borderId="34" xfId="0" applyFont="1" applyFill="1" applyBorder="1"/>
    <xf numFmtId="0" fontId="4" fillId="3" borderId="35" xfId="0" applyFont="1" applyFill="1" applyBorder="1"/>
    <xf numFmtId="0" fontId="3" fillId="8" borderId="0" xfId="0" applyFont="1" applyFill="1"/>
    <xf numFmtId="0" fontId="3" fillId="8" borderId="36" xfId="0" applyFont="1" applyFill="1" applyBorder="1"/>
    <xf numFmtId="0" fontId="4" fillId="3" borderId="37" xfId="0" applyFont="1" applyFill="1" applyBorder="1"/>
    <xf numFmtId="0" fontId="4" fillId="3" borderId="38" xfId="0" applyFont="1" applyFill="1" applyBorder="1"/>
    <xf numFmtId="0" fontId="4" fillId="3" borderId="39" xfId="0" applyFont="1" applyFill="1" applyBorder="1"/>
    <xf numFmtId="0" fontId="4" fillId="3" borderId="40" xfId="0" applyFont="1" applyFill="1" applyBorder="1"/>
    <xf numFmtId="0" fontId="4" fillId="3" borderId="41" xfId="0" applyFont="1" applyFill="1" applyBorder="1"/>
    <xf numFmtId="49" fontId="5" fillId="6" borderId="47" xfId="0" applyNumberFormat="1" applyFont="1" applyFill="1" applyBorder="1" applyProtection="1">
      <protection locked="0"/>
    </xf>
    <xf numFmtId="44" fontId="5" fillId="7" borderId="36" xfId="1" applyFont="1" applyFill="1" applyBorder="1" applyProtection="1"/>
    <xf numFmtId="49" fontId="5" fillId="6" borderId="48" xfId="0" applyNumberFormat="1" applyFont="1" applyFill="1" applyBorder="1" applyProtection="1">
      <protection locked="0"/>
    </xf>
    <xf numFmtId="49" fontId="5" fillId="6" borderId="45" xfId="0" applyNumberFormat="1" applyFont="1" applyFill="1" applyBorder="1" applyProtection="1">
      <protection locked="0"/>
    </xf>
    <xf numFmtId="44" fontId="4" fillId="5" borderId="49" xfId="1" applyFont="1" applyFill="1" applyBorder="1" applyProtection="1"/>
    <xf numFmtId="49" fontId="5" fillId="7" borderId="52" xfId="0" applyNumberFormat="1" applyFont="1" applyFill="1" applyBorder="1"/>
    <xf numFmtId="49" fontId="5" fillId="7" borderId="48" xfId="0" applyNumberFormat="1" applyFont="1" applyFill="1" applyBorder="1"/>
    <xf numFmtId="49" fontId="5" fillId="0" borderId="45" xfId="0" applyNumberFormat="1" applyFont="1" applyBorder="1" applyProtection="1">
      <protection locked="0"/>
    </xf>
    <xf numFmtId="44" fontId="4" fillId="5" borderId="55" xfId="1" applyFont="1" applyFill="1" applyBorder="1" applyProtection="1"/>
    <xf numFmtId="10" fontId="4" fillId="5" borderId="56" xfId="0" applyNumberFormat="1" applyFont="1" applyFill="1" applyBorder="1"/>
    <xf numFmtId="10" fontId="4" fillId="5" borderId="57" xfId="0" applyNumberFormat="1" applyFont="1" applyFill="1" applyBorder="1"/>
    <xf numFmtId="44" fontId="4" fillId="5" borderId="58" xfId="1" applyFont="1" applyFill="1" applyBorder="1" applyProtection="1"/>
    <xf numFmtId="10" fontId="4" fillId="5" borderId="59" xfId="0" applyNumberFormat="1" applyFont="1" applyFill="1" applyBorder="1"/>
    <xf numFmtId="44" fontId="4" fillId="5" borderId="59" xfId="1" applyFont="1" applyFill="1" applyBorder="1" applyProtection="1"/>
    <xf numFmtId="44" fontId="4" fillId="5" borderId="60" xfId="1" applyFont="1" applyFill="1" applyBorder="1" applyProtection="1"/>
    <xf numFmtId="10" fontId="5" fillId="7" borderId="14" xfId="2" applyNumberFormat="1" applyFont="1" applyFill="1" applyBorder="1"/>
    <xf numFmtId="49" fontId="4" fillId="9" borderId="63" xfId="0" applyNumberFormat="1" applyFont="1" applyFill="1" applyBorder="1" applyAlignment="1">
      <alignment horizontal="center"/>
    </xf>
    <xf numFmtId="10" fontId="4" fillId="0" borderId="25" xfId="0" applyNumberFormat="1" applyFont="1" applyBorder="1" applyAlignment="1" applyProtection="1">
      <alignment horizontal="center"/>
      <protection locked="0"/>
    </xf>
    <xf numFmtId="0" fontId="5" fillId="7" borderId="14" xfId="2" applyNumberFormat="1" applyFont="1" applyFill="1" applyBorder="1"/>
    <xf numFmtId="165" fontId="5" fillId="0" borderId="2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6" fontId="5" fillId="7" borderId="5" xfId="0" applyNumberFormat="1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4" fillId="5" borderId="53" xfId="0" applyFont="1" applyFill="1" applyBorder="1" applyAlignment="1">
      <alignment horizontal="left"/>
    </xf>
    <xf numFmtId="0" fontId="4" fillId="5" borderId="54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center"/>
    </xf>
    <xf numFmtId="0" fontId="6" fillId="2" borderId="38" xfId="0" applyFont="1" applyFill="1" applyBorder="1"/>
    <xf numFmtId="0" fontId="7" fillId="0" borderId="0" xfId="0" applyFont="1"/>
    <xf numFmtId="0" fontId="7" fillId="0" borderId="36" xfId="0" applyFont="1" applyBorder="1"/>
    <xf numFmtId="0" fontId="5" fillId="0" borderId="4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164" fontId="5" fillId="7" borderId="2" xfId="0" applyNumberFormat="1" applyFont="1" applyFill="1" applyBorder="1" applyAlignment="1">
      <alignment horizontal="center"/>
    </xf>
    <xf numFmtId="164" fontId="5" fillId="7" borderId="3" xfId="0" applyNumberFormat="1" applyFon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 applyProtection="1">
      <alignment horizontal="center"/>
      <protection locked="0"/>
    </xf>
    <xf numFmtId="10" fontId="5" fillId="0" borderId="8" xfId="0" applyNumberFormat="1" applyFont="1" applyBorder="1" applyAlignment="1" applyProtection="1">
      <alignment horizontal="center"/>
      <protection locked="0"/>
    </xf>
    <xf numFmtId="17" fontId="5" fillId="0" borderId="2" xfId="0" applyNumberFormat="1" applyFont="1" applyBorder="1" applyAlignment="1" applyProtection="1">
      <alignment horizontal="center"/>
      <protection locked="0"/>
    </xf>
    <xf numFmtId="17" fontId="5" fillId="0" borderId="3" xfId="0" applyNumberFormat="1" applyFont="1" applyBorder="1" applyAlignment="1" applyProtection="1">
      <alignment horizontal="center"/>
      <protection locked="0"/>
    </xf>
    <xf numFmtId="40" fontId="5" fillId="7" borderId="2" xfId="0" applyNumberFormat="1" applyFont="1" applyFill="1" applyBorder="1" applyAlignment="1">
      <alignment horizontal="center"/>
    </xf>
    <xf numFmtId="166" fontId="5" fillId="7" borderId="2" xfId="0" applyNumberFormat="1" applyFont="1" applyFill="1" applyBorder="1" applyAlignment="1">
      <alignment horizontal="center"/>
    </xf>
    <xf numFmtId="166" fontId="5" fillId="7" borderId="3" xfId="0" applyNumberFormat="1" applyFont="1" applyFill="1" applyBorder="1" applyAlignment="1">
      <alignment horizontal="center"/>
    </xf>
    <xf numFmtId="0" fontId="4" fillId="5" borderId="35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6" fillId="2" borderId="32" xfId="0" applyFont="1" applyFill="1" applyBorder="1"/>
    <xf numFmtId="0" fontId="7" fillId="0" borderId="33" xfId="0" applyFont="1" applyBorder="1"/>
    <xf numFmtId="0" fontId="7" fillId="0" borderId="1" xfId="0" applyFont="1" applyBorder="1"/>
    <xf numFmtId="0" fontId="7" fillId="0" borderId="42" xfId="0" applyFont="1" applyBorder="1"/>
    <xf numFmtId="49" fontId="4" fillId="4" borderId="64" xfId="0" applyNumberFormat="1" applyFont="1" applyFill="1" applyBorder="1" applyAlignment="1">
      <alignment horizontal="center"/>
    </xf>
    <xf numFmtId="49" fontId="4" fillId="4" borderId="65" xfId="0" applyNumberFormat="1" applyFont="1" applyFill="1" applyBorder="1" applyAlignment="1">
      <alignment horizontal="center"/>
    </xf>
    <xf numFmtId="0" fontId="7" fillId="8" borderId="3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36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50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10" fontId="5" fillId="10" borderId="2" xfId="2" applyNumberFormat="1" applyFont="1" applyFill="1" applyBorder="1" applyAlignment="1" applyProtection="1">
      <alignment horizontal="center"/>
    </xf>
    <xf numFmtId="10" fontId="5" fillId="10" borderId="3" xfId="2" applyNumberFormat="1" applyFont="1" applyFill="1" applyBorder="1" applyAlignment="1" applyProtection="1">
      <alignment horizontal="center"/>
    </xf>
    <xf numFmtId="0" fontId="4" fillId="4" borderId="43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4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ADADA"/>
      <color rgb="FFE8E6E6"/>
      <color rgb="FFD9EAF8"/>
      <color rgb="FF1E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4"/>
  <sheetViews>
    <sheetView showGridLines="0" tabSelected="1" zoomScale="92" zoomScaleNormal="100" workbookViewId="0">
      <selection activeCell="I33" sqref="I33"/>
    </sheetView>
  </sheetViews>
  <sheetFormatPr baseColWidth="10" defaultColWidth="8.83203125" defaultRowHeight="14" x14ac:dyDescent="0.15"/>
  <cols>
    <col min="1" max="1" width="50.83203125" style="1" customWidth="1"/>
    <col min="2" max="2" width="18.83203125" style="1" customWidth="1"/>
    <col min="3" max="3" width="16" style="1" customWidth="1"/>
    <col min="4" max="4" width="32.33203125" style="1" customWidth="1"/>
    <col min="5" max="5" width="19.5" style="1" customWidth="1"/>
    <col min="6" max="29" width="14" style="1" customWidth="1"/>
    <col min="30" max="30" width="11" style="1" customWidth="1"/>
    <col min="31" max="33" width="15.33203125" style="1" customWidth="1"/>
    <col min="34" max="39" width="13" style="1" customWidth="1"/>
    <col min="40" max="16384" width="8.83203125" style="1"/>
  </cols>
  <sheetData>
    <row r="1" spans="1:33" ht="28" customHeight="1" x14ac:dyDescent="0.25">
      <c r="A1" s="94" t="s">
        <v>26</v>
      </c>
      <c r="B1" s="95"/>
      <c r="C1" s="95"/>
      <c r="D1" s="95"/>
      <c r="E1" s="34"/>
      <c r="F1" s="34"/>
      <c r="G1" s="34"/>
      <c r="H1" s="71" t="s">
        <v>28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34"/>
      <c r="AE1" s="34"/>
      <c r="AF1" s="34"/>
      <c r="AG1" s="35"/>
    </row>
    <row r="2" spans="1:33" ht="18" customHeight="1" x14ac:dyDescent="0.15">
      <c r="A2" s="36" t="s">
        <v>0</v>
      </c>
      <c r="B2" s="75"/>
      <c r="C2" s="75"/>
      <c r="D2" s="76"/>
      <c r="E2" s="37"/>
      <c r="F2" s="37"/>
      <c r="G2" s="37"/>
      <c r="H2" s="66" t="s">
        <v>35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37"/>
      <c r="AE2" s="37"/>
      <c r="AF2" s="37"/>
      <c r="AG2" s="38"/>
    </row>
    <row r="3" spans="1:33" ht="18" customHeight="1" x14ac:dyDescent="0.15">
      <c r="A3" s="36" t="s">
        <v>1</v>
      </c>
      <c r="B3" s="77"/>
      <c r="C3" s="77"/>
      <c r="D3" s="78"/>
      <c r="E3" s="37"/>
      <c r="F3" s="37"/>
      <c r="G3" s="3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37"/>
      <c r="AE3" s="37"/>
      <c r="AF3" s="37"/>
      <c r="AG3" s="38"/>
    </row>
    <row r="4" spans="1:33" ht="18" customHeight="1" x14ac:dyDescent="0.15">
      <c r="A4" s="39" t="s">
        <v>2</v>
      </c>
      <c r="B4" s="79"/>
      <c r="C4" s="79"/>
      <c r="D4" s="80"/>
      <c r="E4" s="37"/>
      <c r="F4" s="37"/>
      <c r="G4" s="37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37"/>
      <c r="AE4" s="37"/>
      <c r="AF4" s="37"/>
      <c r="AG4" s="38"/>
    </row>
    <row r="5" spans="1:33" ht="18" customHeight="1" x14ac:dyDescent="0.15">
      <c r="A5" s="39" t="s">
        <v>36</v>
      </c>
      <c r="B5" s="81">
        <f>($B$4/12)*$B$10</f>
        <v>0</v>
      </c>
      <c r="C5" s="81"/>
      <c r="D5" s="82"/>
      <c r="E5" s="37"/>
      <c r="F5" s="37"/>
      <c r="G5" s="37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37"/>
      <c r="AE5" s="37"/>
      <c r="AF5" s="37"/>
      <c r="AG5" s="38"/>
    </row>
    <row r="6" spans="1:33" ht="18" customHeight="1" x14ac:dyDescent="0.15">
      <c r="A6" s="40" t="s">
        <v>3</v>
      </c>
      <c r="B6" s="79"/>
      <c r="C6" s="79"/>
      <c r="D6" s="80"/>
      <c r="E6" s="37"/>
      <c r="F6" s="37"/>
      <c r="G6" s="37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37"/>
      <c r="AE6" s="37"/>
      <c r="AF6" s="37"/>
      <c r="AG6" s="38"/>
    </row>
    <row r="7" spans="1:33" ht="18" customHeight="1" x14ac:dyDescent="0.15">
      <c r="A7" s="41" t="s">
        <v>37</v>
      </c>
      <c r="B7" s="83">
        <f>IF($B$11="Yes",($B$6/12)*$B$10,$B$6/12)</f>
        <v>0</v>
      </c>
      <c r="C7" s="83"/>
      <c r="D7" s="84"/>
      <c r="E7" s="37"/>
      <c r="F7" s="37"/>
      <c r="G7" s="37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37"/>
      <c r="AE7" s="37"/>
      <c r="AF7" s="37"/>
      <c r="AG7" s="38"/>
    </row>
    <row r="8" spans="1:33" ht="18" customHeight="1" x14ac:dyDescent="0.15">
      <c r="A8" s="39" t="s">
        <v>4</v>
      </c>
      <c r="B8" s="85"/>
      <c r="C8" s="85"/>
      <c r="D8" s="86"/>
      <c r="E8" s="37"/>
      <c r="F8" s="37"/>
      <c r="G8" s="37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37"/>
      <c r="AE8" s="37"/>
      <c r="AF8" s="37"/>
      <c r="AG8" s="38"/>
    </row>
    <row r="9" spans="1:33" ht="18" customHeight="1" x14ac:dyDescent="0.15">
      <c r="A9" s="39" t="s">
        <v>5</v>
      </c>
      <c r="B9" s="87"/>
      <c r="C9" s="87"/>
      <c r="D9" s="88"/>
      <c r="E9" s="37"/>
      <c r="F9" s="37"/>
      <c r="G9" s="37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37"/>
      <c r="AE9" s="37"/>
      <c r="AF9" s="37"/>
      <c r="AG9" s="38"/>
    </row>
    <row r="10" spans="1:33" ht="18" customHeight="1" x14ac:dyDescent="0.15">
      <c r="A10" s="39" t="s">
        <v>38</v>
      </c>
      <c r="B10" s="118">
        <f>AVERAGE(G17,I17,K17,M17,O17,Q17,S17,U17,W17,Y17,AA17,AC17)</f>
        <v>1</v>
      </c>
      <c r="C10" s="118"/>
      <c r="D10" s="119"/>
      <c r="E10" s="37"/>
      <c r="F10" s="37"/>
      <c r="G10" s="37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37"/>
      <c r="AE10" s="37"/>
      <c r="AF10" s="37"/>
      <c r="AG10" s="38"/>
    </row>
    <row r="11" spans="1:33" ht="18" customHeight="1" x14ac:dyDescent="0.15">
      <c r="A11" s="42" t="s">
        <v>31</v>
      </c>
      <c r="B11" s="63"/>
      <c r="C11" s="63"/>
      <c r="D11" s="64"/>
      <c r="E11" s="37"/>
      <c r="F11" s="37"/>
      <c r="G11" s="37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37"/>
      <c r="AE11" s="37"/>
      <c r="AF11" s="37"/>
      <c r="AG11" s="38"/>
    </row>
    <row r="12" spans="1:33" ht="18" customHeight="1" x14ac:dyDescent="0.15">
      <c r="A12" s="43" t="s">
        <v>39</v>
      </c>
      <c r="B12" s="89">
        <f>$B$5+$B$7</f>
        <v>0</v>
      </c>
      <c r="C12" s="90"/>
      <c r="D12" s="91"/>
      <c r="E12" s="37"/>
      <c r="F12" s="37"/>
      <c r="G12" s="37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37"/>
      <c r="AE12" s="37"/>
      <c r="AF12" s="37"/>
      <c r="AG12" s="38"/>
    </row>
    <row r="13" spans="1:33" ht="18" customHeight="1" x14ac:dyDescent="0.15">
      <c r="A13" s="40" t="s">
        <v>40</v>
      </c>
      <c r="B13" s="65">
        <f>$B$12*(1+$B$8)</f>
        <v>0</v>
      </c>
      <c r="C13" s="65"/>
      <c r="D13" s="65"/>
      <c r="E13" s="37"/>
      <c r="F13" s="37"/>
      <c r="G13" s="37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37"/>
      <c r="AE13" s="37"/>
      <c r="AF13" s="37"/>
      <c r="AG13" s="38"/>
    </row>
    <row r="14" spans="1:33" ht="18" customHeight="1" x14ac:dyDescent="0.25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2"/>
    </row>
    <row r="15" spans="1:33" ht="18" customHeight="1" x14ac:dyDescent="0.25">
      <c r="A15" s="72" t="s">
        <v>27</v>
      </c>
      <c r="B15" s="73"/>
      <c r="C15" s="73"/>
      <c r="D15" s="73"/>
      <c r="E15" s="96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97"/>
    </row>
    <row r="16" spans="1:33" ht="18" customHeight="1" x14ac:dyDescent="0.15">
      <c r="A16" s="120" t="s">
        <v>6</v>
      </c>
      <c r="B16" s="122" t="s">
        <v>41</v>
      </c>
      <c r="C16" s="124" t="s">
        <v>42</v>
      </c>
      <c r="D16" s="124" t="s">
        <v>7</v>
      </c>
      <c r="E16" s="132" t="s">
        <v>8</v>
      </c>
      <c r="F16" s="98" t="s">
        <v>44</v>
      </c>
      <c r="G16" s="99"/>
      <c r="H16" s="98" t="s">
        <v>45</v>
      </c>
      <c r="I16" s="99"/>
      <c r="J16" s="98" t="s">
        <v>46</v>
      </c>
      <c r="K16" s="99"/>
      <c r="L16" s="98" t="s">
        <v>47</v>
      </c>
      <c r="M16" s="99"/>
      <c r="N16" s="98" t="s">
        <v>48</v>
      </c>
      <c r="O16" s="99"/>
      <c r="P16" s="98" t="s">
        <v>49</v>
      </c>
      <c r="Q16" s="99"/>
      <c r="R16" s="98" t="s">
        <v>50</v>
      </c>
      <c r="S16" s="99"/>
      <c r="T16" s="98" t="s">
        <v>51</v>
      </c>
      <c r="U16" s="99"/>
      <c r="V16" s="98" t="s">
        <v>52</v>
      </c>
      <c r="W16" s="99"/>
      <c r="X16" s="98" t="s">
        <v>53</v>
      </c>
      <c r="Y16" s="99"/>
      <c r="Z16" s="98" t="s">
        <v>54</v>
      </c>
      <c r="AA16" s="99"/>
      <c r="AB16" s="98" t="s">
        <v>55</v>
      </c>
      <c r="AC16" s="99"/>
      <c r="AD16" s="103" t="s">
        <v>21</v>
      </c>
      <c r="AE16" s="103" t="s">
        <v>22</v>
      </c>
      <c r="AF16" s="103" t="s">
        <v>23</v>
      </c>
      <c r="AG16" s="116" t="s">
        <v>24</v>
      </c>
    </row>
    <row r="17" spans="1:33" ht="18" customHeight="1" x14ac:dyDescent="0.15">
      <c r="A17" s="128"/>
      <c r="B17" s="130"/>
      <c r="C17" s="131"/>
      <c r="D17" s="131"/>
      <c r="E17" s="126"/>
      <c r="F17" s="60" t="s">
        <v>34</v>
      </c>
      <c r="G17" s="61">
        <v>1</v>
      </c>
      <c r="H17" s="60" t="s">
        <v>34</v>
      </c>
      <c r="I17" s="61">
        <v>1</v>
      </c>
      <c r="J17" s="60" t="s">
        <v>34</v>
      </c>
      <c r="K17" s="61">
        <v>1</v>
      </c>
      <c r="L17" s="60" t="s">
        <v>34</v>
      </c>
      <c r="M17" s="61">
        <v>1</v>
      </c>
      <c r="N17" s="60" t="s">
        <v>34</v>
      </c>
      <c r="O17" s="61">
        <v>1</v>
      </c>
      <c r="P17" s="60" t="s">
        <v>34</v>
      </c>
      <c r="Q17" s="61">
        <v>1</v>
      </c>
      <c r="R17" s="60" t="s">
        <v>34</v>
      </c>
      <c r="S17" s="61">
        <v>1</v>
      </c>
      <c r="T17" s="60" t="s">
        <v>34</v>
      </c>
      <c r="U17" s="61">
        <v>1</v>
      </c>
      <c r="V17" s="60" t="s">
        <v>34</v>
      </c>
      <c r="W17" s="61">
        <v>1</v>
      </c>
      <c r="X17" s="60" t="s">
        <v>34</v>
      </c>
      <c r="Y17" s="61">
        <v>1</v>
      </c>
      <c r="Z17" s="60" t="s">
        <v>34</v>
      </c>
      <c r="AA17" s="61">
        <v>1</v>
      </c>
      <c r="AB17" s="60" t="s">
        <v>34</v>
      </c>
      <c r="AC17" s="61">
        <v>1</v>
      </c>
      <c r="AD17" s="104"/>
      <c r="AE17" s="104"/>
      <c r="AF17" s="104"/>
      <c r="AG17" s="114"/>
    </row>
    <row r="18" spans="1:33" ht="18" customHeight="1" thickBot="1" x14ac:dyDescent="0.2">
      <c r="A18" s="129"/>
      <c r="B18" s="123"/>
      <c r="C18" s="125"/>
      <c r="D18" s="125"/>
      <c r="E18" s="127"/>
      <c r="F18" s="13" t="s">
        <v>29</v>
      </c>
      <c r="G18" s="14" t="s">
        <v>30</v>
      </c>
      <c r="H18" s="13" t="s">
        <v>29</v>
      </c>
      <c r="I18" s="14" t="s">
        <v>30</v>
      </c>
      <c r="J18" s="13" t="s">
        <v>29</v>
      </c>
      <c r="K18" s="14" t="s">
        <v>30</v>
      </c>
      <c r="L18" s="13" t="s">
        <v>29</v>
      </c>
      <c r="M18" s="14" t="s">
        <v>30</v>
      </c>
      <c r="N18" s="13" t="s">
        <v>29</v>
      </c>
      <c r="O18" s="14" t="s">
        <v>30</v>
      </c>
      <c r="P18" s="13" t="s">
        <v>29</v>
      </c>
      <c r="Q18" s="14" t="s">
        <v>30</v>
      </c>
      <c r="R18" s="13" t="s">
        <v>29</v>
      </c>
      <c r="S18" s="14" t="s">
        <v>30</v>
      </c>
      <c r="T18" s="13" t="s">
        <v>29</v>
      </c>
      <c r="U18" s="14" t="s">
        <v>30</v>
      </c>
      <c r="V18" s="13" t="s">
        <v>29</v>
      </c>
      <c r="W18" s="14" t="s">
        <v>30</v>
      </c>
      <c r="X18" s="13" t="s">
        <v>29</v>
      </c>
      <c r="Y18" s="14" t="s">
        <v>30</v>
      </c>
      <c r="Z18" s="13" t="s">
        <v>29</v>
      </c>
      <c r="AA18" s="14" t="s">
        <v>30</v>
      </c>
      <c r="AB18" s="13" t="s">
        <v>29</v>
      </c>
      <c r="AC18" s="14" t="s">
        <v>30</v>
      </c>
      <c r="AD18" s="105"/>
      <c r="AE18" s="105"/>
      <c r="AF18" s="105"/>
      <c r="AG18" s="115"/>
    </row>
    <row r="19" spans="1:33" s="6" customFormat="1" ht="18" customHeight="1" x14ac:dyDescent="0.15">
      <c r="A19" s="44"/>
      <c r="B19" s="2"/>
      <c r="C19" s="2"/>
      <c r="D19" s="3"/>
      <c r="E19" s="4"/>
      <c r="F19" s="21">
        <f>($B$4/12)*G$17*G19</f>
        <v>0</v>
      </c>
      <c r="G19" s="5"/>
      <c r="H19" s="21">
        <f>($B$4/12)*I$17*I19</f>
        <v>0</v>
      </c>
      <c r="I19" s="5"/>
      <c r="J19" s="21">
        <f>($B$4/12)*K$17*K19</f>
        <v>0</v>
      </c>
      <c r="K19" s="5"/>
      <c r="L19" s="21">
        <f>($B$4/12)*M$17*M19</f>
        <v>0</v>
      </c>
      <c r="M19" s="5"/>
      <c r="N19" s="21">
        <f>($B$4/12)*O$17*O19</f>
        <v>0</v>
      </c>
      <c r="O19" s="5"/>
      <c r="P19" s="21">
        <f>($B$4/12)*Q$17*Q19</f>
        <v>0</v>
      </c>
      <c r="Q19" s="5"/>
      <c r="R19" s="21">
        <f>($B$4/12)*S$17*S19</f>
        <v>0</v>
      </c>
      <c r="S19" s="5"/>
      <c r="T19" s="21">
        <f>($B$4/12)*U$17*U19</f>
        <v>0</v>
      </c>
      <c r="U19" s="5"/>
      <c r="V19" s="21">
        <f>($B$4/12)*W$17*W19</f>
        <v>0</v>
      </c>
      <c r="W19" s="5"/>
      <c r="X19" s="21">
        <f>($B$4/12)*Y$17*Y19</f>
        <v>0</v>
      </c>
      <c r="Y19" s="5"/>
      <c r="Z19" s="21">
        <f>($B$4/12)*AA$17*AA19</f>
        <v>0</v>
      </c>
      <c r="AA19" s="5"/>
      <c r="AB19" s="21">
        <f>($B$4/12)*AC$17*AC19</f>
        <v>0</v>
      </c>
      <c r="AC19" s="5"/>
      <c r="AD19" s="22" t="e">
        <f>AVERAGE(G19,I19,K19,M19,O19,Q19,S19,U19,W19,Y19,AA19,AC19)</f>
        <v>#DIV/0!</v>
      </c>
      <c r="AE19" s="23">
        <f>F19+H19+J19+L19+N19+P19+R19+T19+V19+X19+Z19+AB19</f>
        <v>0</v>
      </c>
      <c r="AF19" s="23">
        <f>AE19*$B$8</f>
        <v>0</v>
      </c>
      <c r="AG19" s="45">
        <f>AE19+AF19</f>
        <v>0</v>
      </c>
    </row>
    <row r="20" spans="1:33" s="6" customFormat="1" ht="18" customHeight="1" x14ac:dyDescent="0.15">
      <c r="A20" s="46"/>
      <c r="B20" s="8"/>
      <c r="C20" s="8"/>
      <c r="D20" s="7"/>
      <c r="E20" s="9"/>
      <c r="F20" s="21">
        <f>($B$4/12)*G$17*G20</f>
        <v>0</v>
      </c>
      <c r="G20" s="5"/>
      <c r="H20" s="21">
        <f t="shared" ref="H20:H32" si="0">($B$4/12)*I$17*I20</f>
        <v>0</v>
      </c>
      <c r="I20" s="5"/>
      <c r="J20" s="21">
        <f t="shared" ref="J20:J29" si="1">($B$4/12)*K$17*K20</f>
        <v>0</v>
      </c>
      <c r="K20" s="5"/>
      <c r="L20" s="21">
        <f t="shared" ref="L20:L33" si="2">($B$4/12)*M$17*M20</f>
        <v>0</v>
      </c>
      <c r="M20" s="5"/>
      <c r="N20" s="21">
        <f t="shared" ref="N20:N33" si="3">($B$4/12)*O$17*O20</f>
        <v>0</v>
      </c>
      <c r="O20" s="5"/>
      <c r="P20" s="21">
        <f t="shared" ref="P20:P33" si="4">($B$4/12)*Q$17*Q20</f>
        <v>0</v>
      </c>
      <c r="Q20" s="5"/>
      <c r="R20" s="21">
        <f t="shared" ref="R20:R33" si="5">($B$4/12)*S$17*S20</f>
        <v>0</v>
      </c>
      <c r="S20" s="5"/>
      <c r="T20" s="21">
        <f t="shared" ref="T20:T33" si="6">($B$4/12)*U$17*U20</f>
        <v>0</v>
      </c>
      <c r="U20" s="5"/>
      <c r="V20" s="21">
        <f t="shared" ref="V20:V33" si="7">($B$4/12)*W$17*W20</f>
        <v>0</v>
      </c>
      <c r="W20" s="5"/>
      <c r="X20" s="21">
        <f t="shared" ref="X20:X33" si="8">($B$4/12)*Y$17*Y20</f>
        <v>0</v>
      </c>
      <c r="Y20" s="5"/>
      <c r="Z20" s="21">
        <f t="shared" ref="Z20:Z33" si="9">($B$4/12)*AA$17*AA20</f>
        <v>0</v>
      </c>
      <c r="AA20" s="5"/>
      <c r="AB20" s="21">
        <f t="shared" ref="AB20:AB33" si="10">($B$4/12)*AC$17*AC20</f>
        <v>0</v>
      </c>
      <c r="AC20" s="5"/>
      <c r="AD20" s="22" t="e">
        <f t="shared" ref="AD20:AD33" si="11">AVERAGE(G20,I20,K20,M20,O20,Q20,S20,U20,W20,Y20,AA20,AC20)</f>
        <v>#DIV/0!</v>
      </c>
      <c r="AE20" s="23">
        <f t="shared" ref="AE20:AE33" si="12">F20+H20+J20+L20+N20+P20+R20+T20+V20+X20+Z20+AB20</f>
        <v>0</v>
      </c>
      <c r="AF20" s="23">
        <f t="shared" ref="AF20:AF33" si="13">AE20*$B$8</f>
        <v>0</v>
      </c>
      <c r="AG20" s="45">
        <f t="shared" ref="AG20:AG22" si="14">AE20+AF20</f>
        <v>0</v>
      </c>
    </row>
    <row r="21" spans="1:33" s="6" customFormat="1" ht="18" customHeight="1" x14ac:dyDescent="0.15">
      <c r="A21" s="46"/>
      <c r="B21" s="8"/>
      <c r="C21" s="8"/>
      <c r="D21" s="7"/>
      <c r="E21" s="9"/>
      <c r="F21" s="21">
        <f>($B$4/12)*G$17*G21</f>
        <v>0</v>
      </c>
      <c r="G21" s="5"/>
      <c r="H21" s="21">
        <f t="shared" si="0"/>
        <v>0</v>
      </c>
      <c r="I21" s="5"/>
      <c r="J21" s="21">
        <f t="shared" si="1"/>
        <v>0</v>
      </c>
      <c r="K21" s="5"/>
      <c r="L21" s="21">
        <f t="shared" si="2"/>
        <v>0</v>
      </c>
      <c r="M21" s="5"/>
      <c r="N21" s="21">
        <f t="shared" si="3"/>
        <v>0</v>
      </c>
      <c r="O21" s="5"/>
      <c r="P21" s="21">
        <f t="shared" si="4"/>
        <v>0</v>
      </c>
      <c r="Q21" s="5"/>
      <c r="R21" s="21">
        <f t="shared" si="5"/>
        <v>0</v>
      </c>
      <c r="S21" s="5"/>
      <c r="T21" s="21">
        <f t="shared" si="6"/>
        <v>0</v>
      </c>
      <c r="U21" s="5"/>
      <c r="V21" s="21">
        <f t="shared" si="7"/>
        <v>0</v>
      </c>
      <c r="W21" s="5"/>
      <c r="X21" s="21">
        <f t="shared" si="8"/>
        <v>0</v>
      </c>
      <c r="Y21" s="5"/>
      <c r="Z21" s="21">
        <f t="shared" si="9"/>
        <v>0</v>
      </c>
      <c r="AA21" s="5"/>
      <c r="AB21" s="21">
        <f t="shared" si="10"/>
        <v>0</v>
      </c>
      <c r="AC21" s="5"/>
      <c r="AD21" s="22" t="e">
        <f t="shared" si="11"/>
        <v>#DIV/0!</v>
      </c>
      <c r="AE21" s="23">
        <f t="shared" si="12"/>
        <v>0</v>
      </c>
      <c r="AF21" s="23">
        <f t="shared" si="13"/>
        <v>0</v>
      </c>
      <c r="AG21" s="45">
        <f t="shared" si="14"/>
        <v>0</v>
      </c>
    </row>
    <row r="22" spans="1:33" s="6" customFormat="1" ht="18" customHeight="1" x14ac:dyDescent="0.15">
      <c r="A22" s="46"/>
      <c r="B22" s="8"/>
      <c r="C22" s="8"/>
      <c r="D22" s="7"/>
      <c r="E22" s="9"/>
      <c r="F22" s="21">
        <f t="shared" ref="F22:F33" si="15">($B$4/12)*G$17*G22</f>
        <v>0</v>
      </c>
      <c r="G22" s="5"/>
      <c r="H22" s="21">
        <f t="shared" si="0"/>
        <v>0</v>
      </c>
      <c r="I22" s="5"/>
      <c r="J22" s="21">
        <f t="shared" si="1"/>
        <v>0</v>
      </c>
      <c r="K22" s="5"/>
      <c r="L22" s="21">
        <f t="shared" si="2"/>
        <v>0</v>
      </c>
      <c r="M22" s="5"/>
      <c r="N22" s="21">
        <f t="shared" si="3"/>
        <v>0</v>
      </c>
      <c r="O22" s="5"/>
      <c r="P22" s="21">
        <f t="shared" si="4"/>
        <v>0</v>
      </c>
      <c r="Q22" s="5"/>
      <c r="R22" s="21">
        <f t="shared" si="5"/>
        <v>0</v>
      </c>
      <c r="S22" s="5"/>
      <c r="T22" s="21">
        <f t="shared" si="6"/>
        <v>0</v>
      </c>
      <c r="U22" s="5"/>
      <c r="V22" s="21">
        <f t="shared" si="7"/>
        <v>0</v>
      </c>
      <c r="W22" s="5"/>
      <c r="X22" s="21">
        <f t="shared" si="8"/>
        <v>0</v>
      </c>
      <c r="Y22" s="5"/>
      <c r="Z22" s="21">
        <f t="shared" si="9"/>
        <v>0</v>
      </c>
      <c r="AA22" s="5"/>
      <c r="AB22" s="21">
        <f t="shared" si="10"/>
        <v>0</v>
      </c>
      <c r="AC22" s="5"/>
      <c r="AD22" s="22" t="e">
        <f t="shared" si="11"/>
        <v>#DIV/0!</v>
      </c>
      <c r="AE22" s="23">
        <f t="shared" si="12"/>
        <v>0</v>
      </c>
      <c r="AF22" s="23">
        <f t="shared" si="13"/>
        <v>0</v>
      </c>
      <c r="AG22" s="45">
        <f t="shared" si="14"/>
        <v>0</v>
      </c>
    </row>
    <row r="23" spans="1:33" s="6" customFormat="1" ht="18" customHeight="1" x14ac:dyDescent="0.15">
      <c r="A23" s="46"/>
      <c r="B23" s="8"/>
      <c r="C23" s="8"/>
      <c r="D23" s="7"/>
      <c r="E23" s="9"/>
      <c r="F23" s="21">
        <f t="shared" si="15"/>
        <v>0</v>
      </c>
      <c r="G23" s="5"/>
      <c r="H23" s="21">
        <f t="shared" si="0"/>
        <v>0</v>
      </c>
      <c r="I23" s="5"/>
      <c r="J23" s="21">
        <f t="shared" si="1"/>
        <v>0</v>
      </c>
      <c r="K23" s="5"/>
      <c r="L23" s="21">
        <f t="shared" si="2"/>
        <v>0</v>
      </c>
      <c r="M23" s="5"/>
      <c r="N23" s="21">
        <f t="shared" si="3"/>
        <v>0</v>
      </c>
      <c r="O23" s="5"/>
      <c r="P23" s="21">
        <f t="shared" si="4"/>
        <v>0</v>
      </c>
      <c r="Q23" s="5"/>
      <c r="R23" s="21">
        <f t="shared" si="5"/>
        <v>0</v>
      </c>
      <c r="S23" s="5"/>
      <c r="T23" s="21">
        <f t="shared" si="6"/>
        <v>0</v>
      </c>
      <c r="U23" s="5"/>
      <c r="V23" s="21">
        <f t="shared" si="7"/>
        <v>0</v>
      </c>
      <c r="W23" s="5"/>
      <c r="X23" s="21">
        <f t="shared" si="8"/>
        <v>0</v>
      </c>
      <c r="Y23" s="5"/>
      <c r="Z23" s="21">
        <f t="shared" si="9"/>
        <v>0</v>
      </c>
      <c r="AA23" s="5"/>
      <c r="AB23" s="21">
        <f t="shared" si="10"/>
        <v>0</v>
      </c>
      <c r="AC23" s="5"/>
      <c r="AD23" s="22" t="e">
        <f t="shared" si="11"/>
        <v>#DIV/0!</v>
      </c>
      <c r="AE23" s="23">
        <f t="shared" si="12"/>
        <v>0</v>
      </c>
      <c r="AF23" s="23">
        <f t="shared" si="13"/>
        <v>0</v>
      </c>
      <c r="AG23" s="45">
        <f>AE23+AF23</f>
        <v>0</v>
      </c>
    </row>
    <row r="24" spans="1:33" s="6" customFormat="1" ht="18" customHeight="1" x14ac:dyDescent="0.15">
      <c r="A24" s="46"/>
      <c r="B24" s="8"/>
      <c r="C24" s="8"/>
      <c r="D24" s="7"/>
      <c r="E24" s="9"/>
      <c r="F24" s="21">
        <f t="shared" si="15"/>
        <v>0</v>
      </c>
      <c r="G24" s="5"/>
      <c r="H24" s="21">
        <f t="shared" si="0"/>
        <v>0</v>
      </c>
      <c r="I24" s="5"/>
      <c r="J24" s="21">
        <f t="shared" si="1"/>
        <v>0</v>
      </c>
      <c r="K24" s="5"/>
      <c r="L24" s="21">
        <f t="shared" si="2"/>
        <v>0</v>
      </c>
      <c r="M24" s="5"/>
      <c r="N24" s="21">
        <f t="shared" si="3"/>
        <v>0</v>
      </c>
      <c r="O24" s="5"/>
      <c r="P24" s="21">
        <f t="shared" si="4"/>
        <v>0</v>
      </c>
      <c r="Q24" s="5"/>
      <c r="R24" s="21">
        <f t="shared" si="5"/>
        <v>0</v>
      </c>
      <c r="S24" s="5"/>
      <c r="T24" s="21">
        <f t="shared" si="6"/>
        <v>0</v>
      </c>
      <c r="U24" s="5"/>
      <c r="V24" s="21">
        <f t="shared" si="7"/>
        <v>0</v>
      </c>
      <c r="W24" s="5"/>
      <c r="X24" s="21">
        <f t="shared" si="8"/>
        <v>0</v>
      </c>
      <c r="Y24" s="5"/>
      <c r="Z24" s="21">
        <f t="shared" si="9"/>
        <v>0</v>
      </c>
      <c r="AA24" s="5"/>
      <c r="AB24" s="21">
        <f t="shared" si="10"/>
        <v>0</v>
      </c>
      <c r="AC24" s="5"/>
      <c r="AD24" s="22" t="e">
        <f t="shared" si="11"/>
        <v>#DIV/0!</v>
      </c>
      <c r="AE24" s="23">
        <f t="shared" si="12"/>
        <v>0</v>
      </c>
      <c r="AF24" s="23">
        <f t="shared" si="13"/>
        <v>0</v>
      </c>
      <c r="AG24" s="45">
        <f t="shared" ref="AG24:AG33" si="16">AE24+AF24</f>
        <v>0</v>
      </c>
    </row>
    <row r="25" spans="1:33" s="6" customFormat="1" ht="18" customHeight="1" x14ac:dyDescent="0.15">
      <c r="A25" s="46"/>
      <c r="B25" s="8"/>
      <c r="C25" s="8"/>
      <c r="D25" s="7"/>
      <c r="E25" s="9"/>
      <c r="F25" s="21">
        <f t="shared" si="15"/>
        <v>0</v>
      </c>
      <c r="G25" s="5"/>
      <c r="H25" s="21">
        <f t="shared" si="0"/>
        <v>0</v>
      </c>
      <c r="I25" s="5"/>
      <c r="J25" s="21">
        <f t="shared" si="1"/>
        <v>0</v>
      </c>
      <c r="K25" s="5"/>
      <c r="L25" s="21">
        <f t="shared" si="2"/>
        <v>0</v>
      </c>
      <c r="M25" s="5"/>
      <c r="N25" s="21">
        <f t="shared" si="3"/>
        <v>0</v>
      </c>
      <c r="O25" s="5"/>
      <c r="P25" s="21">
        <f t="shared" si="4"/>
        <v>0</v>
      </c>
      <c r="Q25" s="5"/>
      <c r="R25" s="21">
        <f t="shared" si="5"/>
        <v>0</v>
      </c>
      <c r="S25" s="5"/>
      <c r="T25" s="21">
        <f t="shared" si="6"/>
        <v>0</v>
      </c>
      <c r="U25" s="5"/>
      <c r="V25" s="21">
        <f t="shared" si="7"/>
        <v>0</v>
      </c>
      <c r="W25" s="5"/>
      <c r="X25" s="21">
        <f t="shared" si="8"/>
        <v>0</v>
      </c>
      <c r="Y25" s="5"/>
      <c r="Z25" s="21">
        <f t="shared" si="9"/>
        <v>0</v>
      </c>
      <c r="AA25" s="5"/>
      <c r="AB25" s="21">
        <f t="shared" si="10"/>
        <v>0</v>
      </c>
      <c r="AC25" s="5"/>
      <c r="AD25" s="22" t="e">
        <f t="shared" si="11"/>
        <v>#DIV/0!</v>
      </c>
      <c r="AE25" s="23">
        <f t="shared" si="12"/>
        <v>0</v>
      </c>
      <c r="AF25" s="23">
        <f t="shared" si="13"/>
        <v>0</v>
      </c>
      <c r="AG25" s="45">
        <f t="shared" si="16"/>
        <v>0</v>
      </c>
    </row>
    <row r="26" spans="1:33" s="6" customFormat="1" ht="18" customHeight="1" x14ac:dyDescent="0.15">
      <c r="A26" s="46"/>
      <c r="B26" s="8"/>
      <c r="C26" s="8"/>
      <c r="D26" s="7"/>
      <c r="E26" s="9"/>
      <c r="F26" s="21">
        <f t="shared" si="15"/>
        <v>0</v>
      </c>
      <c r="G26" s="5"/>
      <c r="H26" s="21">
        <f t="shared" si="0"/>
        <v>0</v>
      </c>
      <c r="I26" s="5"/>
      <c r="J26" s="21">
        <f>($B$4/12)*K$17*K26</f>
        <v>0</v>
      </c>
      <c r="K26" s="5"/>
      <c r="L26" s="21">
        <f t="shared" si="2"/>
        <v>0</v>
      </c>
      <c r="M26" s="5"/>
      <c r="N26" s="21">
        <f t="shared" si="3"/>
        <v>0</v>
      </c>
      <c r="O26" s="5"/>
      <c r="P26" s="21">
        <f t="shared" si="4"/>
        <v>0</v>
      </c>
      <c r="Q26" s="5"/>
      <c r="R26" s="21">
        <f t="shared" si="5"/>
        <v>0</v>
      </c>
      <c r="S26" s="5"/>
      <c r="T26" s="21">
        <f t="shared" si="6"/>
        <v>0</v>
      </c>
      <c r="U26" s="5"/>
      <c r="V26" s="21">
        <f>($B$4/12)*W$17*W26</f>
        <v>0</v>
      </c>
      <c r="W26" s="5"/>
      <c r="X26" s="21">
        <f t="shared" si="8"/>
        <v>0</v>
      </c>
      <c r="Y26" s="5"/>
      <c r="Z26" s="21">
        <f t="shared" si="9"/>
        <v>0</v>
      </c>
      <c r="AA26" s="5"/>
      <c r="AB26" s="21">
        <f t="shared" si="10"/>
        <v>0</v>
      </c>
      <c r="AC26" s="5"/>
      <c r="AD26" s="22" t="e">
        <f t="shared" si="11"/>
        <v>#DIV/0!</v>
      </c>
      <c r="AE26" s="23">
        <f t="shared" si="12"/>
        <v>0</v>
      </c>
      <c r="AF26" s="23">
        <f t="shared" si="13"/>
        <v>0</v>
      </c>
      <c r="AG26" s="45">
        <f t="shared" si="16"/>
        <v>0</v>
      </c>
    </row>
    <row r="27" spans="1:33" s="6" customFormat="1" ht="18" customHeight="1" x14ac:dyDescent="0.15">
      <c r="A27" s="46"/>
      <c r="B27" s="8"/>
      <c r="C27" s="8"/>
      <c r="D27" s="7"/>
      <c r="E27" s="9"/>
      <c r="F27" s="21">
        <f t="shared" si="15"/>
        <v>0</v>
      </c>
      <c r="G27" s="5"/>
      <c r="H27" s="21">
        <f t="shared" si="0"/>
        <v>0</v>
      </c>
      <c r="I27" s="5"/>
      <c r="J27" s="21">
        <f t="shared" si="1"/>
        <v>0</v>
      </c>
      <c r="K27" s="5"/>
      <c r="L27" s="21">
        <f t="shared" si="2"/>
        <v>0</v>
      </c>
      <c r="M27" s="5"/>
      <c r="N27" s="21">
        <f t="shared" si="3"/>
        <v>0</v>
      </c>
      <c r="O27" s="5"/>
      <c r="P27" s="21">
        <f t="shared" si="4"/>
        <v>0</v>
      </c>
      <c r="Q27" s="5"/>
      <c r="R27" s="21">
        <f t="shared" si="5"/>
        <v>0</v>
      </c>
      <c r="S27" s="5"/>
      <c r="T27" s="21">
        <f t="shared" si="6"/>
        <v>0</v>
      </c>
      <c r="U27" s="5"/>
      <c r="V27" s="21">
        <f t="shared" si="7"/>
        <v>0</v>
      </c>
      <c r="W27" s="5"/>
      <c r="X27" s="21">
        <f t="shared" si="8"/>
        <v>0</v>
      </c>
      <c r="Y27" s="5"/>
      <c r="Z27" s="21">
        <f t="shared" si="9"/>
        <v>0</v>
      </c>
      <c r="AA27" s="5"/>
      <c r="AB27" s="21">
        <f t="shared" si="10"/>
        <v>0</v>
      </c>
      <c r="AC27" s="5"/>
      <c r="AD27" s="22" t="e">
        <f t="shared" si="11"/>
        <v>#DIV/0!</v>
      </c>
      <c r="AE27" s="23">
        <f t="shared" si="12"/>
        <v>0</v>
      </c>
      <c r="AF27" s="23">
        <f t="shared" si="13"/>
        <v>0</v>
      </c>
      <c r="AG27" s="45">
        <f t="shared" si="16"/>
        <v>0</v>
      </c>
    </row>
    <row r="28" spans="1:33" s="6" customFormat="1" ht="18" customHeight="1" x14ac:dyDescent="0.15">
      <c r="A28" s="46"/>
      <c r="B28" s="8"/>
      <c r="C28" s="8"/>
      <c r="D28" s="7"/>
      <c r="E28" s="9"/>
      <c r="F28" s="21">
        <f t="shared" si="15"/>
        <v>0</v>
      </c>
      <c r="G28" s="5"/>
      <c r="H28" s="21">
        <f t="shared" si="0"/>
        <v>0</v>
      </c>
      <c r="I28" s="5"/>
      <c r="J28" s="21">
        <f t="shared" si="1"/>
        <v>0</v>
      </c>
      <c r="K28" s="5"/>
      <c r="L28" s="21">
        <f>($B$4/12)*M$17*M28</f>
        <v>0</v>
      </c>
      <c r="M28" s="5"/>
      <c r="N28" s="21">
        <f t="shared" si="3"/>
        <v>0</v>
      </c>
      <c r="O28" s="5"/>
      <c r="P28" s="21">
        <f t="shared" si="4"/>
        <v>0</v>
      </c>
      <c r="Q28" s="5"/>
      <c r="R28" s="21">
        <f t="shared" si="5"/>
        <v>0</v>
      </c>
      <c r="S28" s="5"/>
      <c r="T28" s="21">
        <f t="shared" si="6"/>
        <v>0</v>
      </c>
      <c r="U28" s="5"/>
      <c r="V28" s="21">
        <f t="shared" si="7"/>
        <v>0</v>
      </c>
      <c r="W28" s="5"/>
      <c r="X28" s="21">
        <f t="shared" si="8"/>
        <v>0</v>
      </c>
      <c r="Y28" s="5"/>
      <c r="Z28" s="21">
        <f t="shared" si="9"/>
        <v>0</v>
      </c>
      <c r="AA28" s="5"/>
      <c r="AB28" s="21">
        <f t="shared" si="10"/>
        <v>0</v>
      </c>
      <c r="AC28" s="5"/>
      <c r="AD28" s="22" t="e">
        <f t="shared" si="11"/>
        <v>#DIV/0!</v>
      </c>
      <c r="AE28" s="23">
        <f t="shared" si="12"/>
        <v>0</v>
      </c>
      <c r="AF28" s="23">
        <f t="shared" si="13"/>
        <v>0</v>
      </c>
      <c r="AG28" s="45">
        <f t="shared" si="16"/>
        <v>0</v>
      </c>
    </row>
    <row r="29" spans="1:33" s="6" customFormat="1" ht="18" customHeight="1" x14ac:dyDescent="0.15">
      <c r="A29" s="46"/>
      <c r="B29" s="8"/>
      <c r="C29" s="8"/>
      <c r="D29" s="7"/>
      <c r="E29" s="9"/>
      <c r="F29" s="21">
        <f t="shared" si="15"/>
        <v>0</v>
      </c>
      <c r="G29" s="5"/>
      <c r="H29" s="21">
        <f t="shared" si="0"/>
        <v>0</v>
      </c>
      <c r="I29" s="5"/>
      <c r="J29" s="21">
        <f t="shared" si="1"/>
        <v>0</v>
      </c>
      <c r="K29" s="5"/>
      <c r="L29" s="21">
        <f t="shared" si="2"/>
        <v>0</v>
      </c>
      <c r="M29" s="5"/>
      <c r="N29" s="21">
        <f t="shared" si="3"/>
        <v>0</v>
      </c>
      <c r="O29" s="5"/>
      <c r="P29" s="21">
        <f t="shared" si="4"/>
        <v>0</v>
      </c>
      <c r="Q29" s="5"/>
      <c r="R29" s="21">
        <f t="shared" si="5"/>
        <v>0</v>
      </c>
      <c r="S29" s="5"/>
      <c r="T29" s="21">
        <f t="shared" si="6"/>
        <v>0</v>
      </c>
      <c r="U29" s="5"/>
      <c r="V29" s="21">
        <f t="shared" si="7"/>
        <v>0</v>
      </c>
      <c r="W29" s="5"/>
      <c r="X29" s="21">
        <f t="shared" si="8"/>
        <v>0</v>
      </c>
      <c r="Y29" s="5"/>
      <c r="Z29" s="21">
        <f t="shared" si="9"/>
        <v>0</v>
      </c>
      <c r="AA29" s="5"/>
      <c r="AB29" s="21">
        <f t="shared" si="10"/>
        <v>0</v>
      </c>
      <c r="AC29" s="5"/>
      <c r="AD29" s="22" t="e">
        <f t="shared" si="11"/>
        <v>#DIV/0!</v>
      </c>
      <c r="AE29" s="23">
        <f t="shared" si="12"/>
        <v>0</v>
      </c>
      <c r="AF29" s="23">
        <f t="shared" si="13"/>
        <v>0</v>
      </c>
      <c r="AG29" s="45">
        <f t="shared" si="16"/>
        <v>0</v>
      </c>
    </row>
    <row r="30" spans="1:33" s="6" customFormat="1" ht="18" customHeight="1" x14ac:dyDescent="0.15">
      <c r="A30" s="46"/>
      <c r="B30" s="8"/>
      <c r="C30" s="8"/>
      <c r="D30" s="7"/>
      <c r="E30" s="9"/>
      <c r="F30" s="21">
        <f t="shared" si="15"/>
        <v>0</v>
      </c>
      <c r="G30" s="5"/>
      <c r="H30" s="21">
        <f t="shared" si="0"/>
        <v>0</v>
      </c>
      <c r="I30" s="5"/>
      <c r="J30" s="21">
        <f>($B$4/12)*K$17*K30</f>
        <v>0</v>
      </c>
      <c r="K30" s="5"/>
      <c r="L30" s="21">
        <f t="shared" si="2"/>
        <v>0</v>
      </c>
      <c r="M30" s="5"/>
      <c r="N30" s="21">
        <f t="shared" si="3"/>
        <v>0</v>
      </c>
      <c r="O30" s="5"/>
      <c r="P30" s="21">
        <f t="shared" si="4"/>
        <v>0</v>
      </c>
      <c r="Q30" s="5"/>
      <c r="R30" s="21">
        <f t="shared" si="5"/>
        <v>0</v>
      </c>
      <c r="S30" s="5"/>
      <c r="T30" s="21">
        <f t="shared" si="6"/>
        <v>0</v>
      </c>
      <c r="U30" s="5"/>
      <c r="V30" s="21">
        <f t="shared" si="7"/>
        <v>0</v>
      </c>
      <c r="W30" s="5"/>
      <c r="X30" s="21">
        <f t="shared" si="8"/>
        <v>0</v>
      </c>
      <c r="Y30" s="5"/>
      <c r="Z30" s="21">
        <f t="shared" si="9"/>
        <v>0</v>
      </c>
      <c r="AA30" s="5"/>
      <c r="AB30" s="21">
        <f t="shared" si="10"/>
        <v>0</v>
      </c>
      <c r="AC30" s="5"/>
      <c r="AD30" s="22" t="e">
        <f t="shared" si="11"/>
        <v>#DIV/0!</v>
      </c>
      <c r="AE30" s="23">
        <f t="shared" si="12"/>
        <v>0</v>
      </c>
      <c r="AF30" s="23">
        <f t="shared" si="13"/>
        <v>0</v>
      </c>
      <c r="AG30" s="45">
        <f t="shared" si="16"/>
        <v>0</v>
      </c>
    </row>
    <row r="31" spans="1:33" s="6" customFormat="1" ht="18" customHeight="1" x14ac:dyDescent="0.15">
      <c r="A31" s="46"/>
      <c r="B31" s="8"/>
      <c r="C31" s="8"/>
      <c r="D31" s="7"/>
      <c r="E31" s="9"/>
      <c r="F31" s="21">
        <f t="shared" si="15"/>
        <v>0</v>
      </c>
      <c r="G31" s="5"/>
      <c r="H31" s="21">
        <f t="shared" si="0"/>
        <v>0</v>
      </c>
      <c r="I31" s="5"/>
      <c r="J31" s="21">
        <f>($B$4/12)*K$17*K31</f>
        <v>0</v>
      </c>
      <c r="K31" s="5"/>
      <c r="L31" s="21">
        <f t="shared" si="2"/>
        <v>0</v>
      </c>
      <c r="M31" s="5"/>
      <c r="N31" s="21">
        <f t="shared" si="3"/>
        <v>0</v>
      </c>
      <c r="O31" s="5"/>
      <c r="P31" s="21">
        <f t="shared" si="4"/>
        <v>0</v>
      </c>
      <c r="Q31" s="5"/>
      <c r="R31" s="21">
        <f t="shared" si="5"/>
        <v>0</v>
      </c>
      <c r="S31" s="5"/>
      <c r="T31" s="21">
        <f t="shared" si="6"/>
        <v>0</v>
      </c>
      <c r="U31" s="5"/>
      <c r="V31" s="21">
        <f t="shared" si="7"/>
        <v>0</v>
      </c>
      <c r="W31" s="5"/>
      <c r="X31" s="21">
        <f t="shared" si="8"/>
        <v>0</v>
      </c>
      <c r="Y31" s="5"/>
      <c r="Z31" s="21">
        <f t="shared" si="9"/>
        <v>0</v>
      </c>
      <c r="AA31" s="5"/>
      <c r="AB31" s="21">
        <f t="shared" si="10"/>
        <v>0</v>
      </c>
      <c r="AC31" s="5"/>
      <c r="AD31" s="22" t="e">
        <f t="shared" si="11"/>
        <v>#DIV/0!</v>
      </c>
      <c r="AE31" s="23">
        <f t="shared" si="12"/>
        <v>0</v>
      </c>
      <c r="AF31" s="23">
        <f t="shared" si="13"/>
        <v>0</v>
      </c>
      <c r="AG31" s="45">
        <f t="shared" si="16"/>
        <v>0</v>
      </c>
    </row>
    <row r="32" spans="1:33" s="6" customFormat="1" ht="18" customHeight="1" x14ac:dyDescent="0.15">
      <c r="A32" s="46"/>
      <c r="B32" s="8"/>
      <c r="C32" s="8"/>
      <c r="D32" s="7"/>
      <c r="E32" s="9"/>
      <c r="F32" s="21">
        <f t="shared" si="15"/>
        <v>0</v>
      </c>
      <c r="G32" s="5"/>
      <c r="H32" s="21">
        <f t="shared" si="0"/>
        <v>0</v>
      </c>
      <c r="I32" s="5"/>
      <c r="J32" s="21">
        <f>($B$4/12)*K$17*K32</f>
        <v>0</v>
      </c>
      <c r="K32" s="5"/>
      <c r="L32" s="21">
        <f t="shared" si="2"/>
        <v>0</v>
      </c>
      <c r="M32" s="5"/>
      <c r="N32" s="21">
        <f t="shared" si="3"/>
        <v>0</v>
      </c>
      <c r="O32" s="5"/>
      <c r="P32" s="21">
        <f t="shared" si="4"/>
        <v>0</v>
      </c>
      <c r="Q32" s="5"/>
      <c r="R32" s="21">
        <f t="shared" si="5"/>
        <v>0</v>
      </c>
      <c r="S32" s="5"/>
      <c r="T32" s="21">
        <f t="shared" si="6"/>
        <v>0</v>
      </c>
      <c r="U32" s="5"/>
      <c r="V32" s="21">
        <f t="shared" si="7"/>
        <v>0</v>
      </c>
      <c r="W32" s="5"/>
      <c r="X32" s="21">
        <f t="shared" si="8"/>
        <v>0</v>
      </c>
      <c r="Y32" s="5"/>
      <c r="Z32" s="21">
        <f t="shared" si="9"/>
        <v>0</v>
      </c>
      <c r="AA32" s="5"/>
      <c r="AB32" s="21">
        <f t="shared" si="10"/>
        <v>0</v>
      </c>
      <c r="AC32" s="5"/>
      <c r="AD32" s="22" t="e">
        <f t="shared" si="11"/>
        <v>#DIV/0!</v>
      </c>
      <c r="AE32" s="23">
        <f t="shared" si="12"/>
        <v>0</v>
      </c>
      <c r="AF32" s="23">
        <f t="shared" si="13"/>
        <v>0</v>
      </c>
      <c r="AG32" s="45">
        <f t="shared" si="16"/>
        <v>0</v>
      </c>
    </row>
    <row r="33" spans="1:33" s="6" customFormat="1" ht="18" customHeight="1" x14ac:dyDescent="0.15">
      <c r="A33" s="47"/>
      <c r="B33" s="11"/>
      <c r="C33" s="11"/>
      <c r="D33" s="10"/>
      <c r="E33" s="12"/>
      <c r="F33" s="21">
        <f t="shared" si="15"/>
        <v>0</v>
      </c>
      <c r="G33" s="5"/>
      <c r="H33" s="21">
        <f>($B$4/12)*I$17*I33</f>
        <v>0</v>
      </c>
      <c r="I33" s="5"/>
      <c r="J33" s="21">
        <f>($B$4/12)*K$17*K33</f>
        <v>0</v>
      </c>
      <c r="K33" s="5"/>
      <c r="L33" s="21">
        <f t="shared" si="2"/>
        <v>0</v>
      </c>
      <c r="M33" s="5"/>
      <c r="N33" s="21">
        <f t="shared" si="3"/>
        <v>0</v>
      </c>
      <c r="O33" s="5"/>
      <c r="P33" s="21">
        <f t="shared" si="4"/>
        <v>0</v>
      </c>
      <c r="Q33" s="5"/>
      <c r="R33" s="21">
        <f t="shared" si="5"/>
        <v>0</v>
      </c>
      <c r="S33" s="5"/>
      <c r="T33" s="21">
        <f t="shared" si="6"/>
        <v>0</v>
      </c>
      <c r="U33" s="5"/>
      <c r="V33" s="21">
        <f t="shared" si="7"/>
        <v>0</v>
      </c>
      <c r="W33" s="5"/>
      <c r="X33" s="21">
        <f t="shared" si="8"/>
        <v>0</v>
      </c>
      <c r="Y33" s="5"/>
      <c r="Z33" s="21">
        <f t="shared" si="9"/>
        <v>0</v>
      </c>
      <c r="AA33" s="5"/>
      <c r="AB33" s="21">
        <f t="shared" si="10"/>
        <v>0</v>
      </c>
      <c r="AC33" s="5"/>
      <c r="AD33" s="22" t="e">
        <f t="shared" si="11"/>
        <v>#DIV/0!</v>
      </c>
      <c r="AE33" s="23">
        <f t="shared" si="12"/>
        <v>0</v>
      </c>
      <c r="AF33" s="23">
        <f t="shared" si="13"/>
        <v>0</v>
      </c>
      <c r="AG33" s="45">
        <f t="shared" si="16"/>
        <v>0</v>
      </c>
    </row>
    <row r="34" spans="1:33" ht="18" customHeight="1" x14ac:dyDescent="0.15">
      <c r="A34" s="92" t="s">
        <v>25</v>
      </c>
      <c r="B34" s="93"/>
      <c r="C34" s="93"/>
      <c r="D34" s="93"/>
      <c r="E34" s="93"/>
      <c r="F34" s="15">
        <f>SUM(F19:F33)</f>
        <v>0</v>
      </c>
      <c r="G34" s="16">
        <f>SUM(G19:G33)</f>
        <v>0</v>
      </c>
      <c r="H34" s="15">
        <f t="shared" ref="H34:AB34" si="17">SUM(H19:H33)</f>
        <v>0</v>
      </c>
      <c r="I34" s="16">
        <f>SUM(I19:I33)</f>
        <v>0</v>
      </c>
      <c r="J34" s="15">
        <f t="shared" si="17"/>
        <v>0</v>
      </c>
      <c r="K34" s="16">
        <f>SUM(K19:K33)</f>
        <v>0</v>
      </c>
      <c r="L34" s="15">
        <f t="shared" si="17"/>
        <v>0</v>
      </c>
      <c r="M34" s="16">
        <f>SUM(M19:M33)</f>
        <v>0</v>
      </c>
      <c r="N34" s="18">
        <f t="shared" si="17"/>
        <v>0</v>
      </c>
      <c r="O34" s="17">
        <f>SUM(O19:O33)</f>
        <v>0</v>
      </c>
      <c r="P34" s="18">
        <f t="shared" si="17"/>
        <v>0</v>
      </c>
      <c r="Q34" s="17">
        <f>SUM(Q19:Q33)</f>
        <v>0</v>
      </c>
      <c r="R34" s="18">
        <f t="shared" si="17"/>
        <v>0</v>
      </c>
      <c r="S34" s="17">
        <f>SUM(S19:S33)</f>
        <v>0</v>
      </c>
      <c r="T34" s="18">
        <f t="shared" si="17"/>
        <v>0</v>
      </c>
      <c r="U34" s="17">
        <f>SUM(U19:U33)</f>
        <v>0</v>
      </c>
      <c r="V34" s="18">
        <f t="shared" si="17"/>
        <v>0</v>
      </c>
      <c r="W34" s="17">
        <f>SUM(W19:W33)</f>
        <v>0</v>
      </c>
      <c r="X34" s="18">
        <f t="shared" si="17"/>
        <v>0</v>
      </c>
      <c r="Y34" s="17">
        <f>SUM(Y19:Y33)</f>
        <v>0</v>
      </c>
      <c r="Z34" s="18">
        <f t="shared" si="17"/>
        <v>0</v>
      </c>
      <c r="AA34" s="16">
        <f>SUM(AA19:AA33)</f>
        <v>0</v>
      </c>
      <c r="AB34" s="15">
        <f t="shared" si="17"/>
        <v>0</v>
      </c>
      <c r="AC34" s="16">
        <f>SUM(AC19:AC33)</f>
        <v>0</v>
      </c>
      <c r="AD34" s="19">
        <f t="shared" ref="AD34" si="18">AVERAGE(G34,I34,K34,M34,O34,Q34,S34,U34,W34,Y34,AA34,AC34)</f>
        <v>0</v>
      </c>
      <c r="AE34" s="20">
        <f>SUM(AE19:AE33)</f>
        <v>0</v>
      </c>
      <c r="AF34" s="20">
        <f>SUM(AF19:AF33)</f>
        <v>0</v>
      </c>
      <c r="AG34" s="48">
        <f>SUM(AG19:AG33)</f>
        <v>0</v>
      </c>
    </row>
    <row r="35" spans="1:33" ht="18" customHeight="1" x14ac:dyDescent="0.15">
      <c r="A35" s="106"/>
      <c r="B35" s="107"/>
      <c r="C35" s="107"/>
      <c r="D35" s="107"/>
      <c r="E35" s="107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9"/>
    </row>
    <row r="36" spans="1:33" ht="18" customHeight="1" x14ac:dyDescent="0.15">
      <c r="A36" s="110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11"/>
    </row>
    <row r="37" spans="1:33" ht="18" customHeight="1" x14ac:dyDescent="0.25">
      <c r="A37" s="72" t="s">
        <v>33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4"/>
    </row>
    <row r="38" spans="1:33" ht="18" customHeight="1" x14ac:dyDescent="0.15">
      <c r="A38" s="120" t="s">
        <v>6</v>
      </c>
      <c r="B38" s="122" t="s">
        <v>41</v>
      </c>
      <c r="C38" s="124" t="s">
        <v>42</v>
      </c>
      <c r="D38" s="124" t="s">
        <v>7</v>
      </c>
      <c r="E38" s="126" t="s">
        <v>8</v>
      </c>
      <c r="F38" s="112" t="s">
        <v>9</v>
      </c>
      <c r="G38" s="113"/>
      <c r="H38" s="112" t="s">
        <v>10</v>
      </c>
      <c r="I38" s="113"/>
      <c r="J38" s="112" t="s">
        <v>11</v>
      </c>
      <c r="K38" s="113"/>
      <c r="L38" s="112" t="s">
        <v>12</v>
      </c>
      <c r="M38" s="113"/>
      <c r="N38" s="112" t="s">
        <v>13</v>
      </c>
      <c r="O38" s="113"/>
      <c r="P38" s="112" t="s">
        <v>14</v>
      </c>
      <c r="Q38" s="113"/>
      <c r="R38" s="112" t="s">
        <v>15</v>
      </c>
      <c r="S38" s="113"/>
      <c r="T38" s="112" t="s">
        <v>16</v>
      </c>
      <c r="U38" s="113"/>
      <c r="V38" s="112" t="s">
        <v>17</v>
      </c>
      <c r="W38" s="113"/>
      <c r="X38" s="112" t="s">
        <v>18</v>
      </c>
      <c r="Y38" s="113"/>
      <c r="Z38" s="112" t="s">
        <v>19</v>
      </c>
      <c r="AA38" s="113"/>
      <c r="AB38" s="112" t="s">
        <v>20</v>
      </c>
      <c r="AC38" s="113"/>
      <c r="AD38" s="103" t="s">
        <v>21</v>
      </c>
      <c r="AE38" s="103" t="s">
        <v>22</v>
      </c>
      <c r="AF38" s="103" t="s">
        <v>23</v>
      </c>
      <c r="AG38" s="114" t="s">
        <v>24</v>
      </c>
    </row>
    <row r="39" spans="1:33" ht="18" customHeight="1" thickBot="1" x14ac:dyDescent="0.2">
      <c r="A39" s="121"/>
      <c r="B39" s="123"/>
      <c r="C39" s="125"/>
      <c r="D39" s="125"/>
      <c r="E39" s="127"/>
      <c r="F39" s="13" t="s">
        <v>29</v>
      </c>
      <c r="G39" s="14" t="s">
        <v>30</v>
      </c>
      <c r="H39" s="13" t="s">
        <v>29</v>
      </c>
      <c r="I39" s="14" t="s">
        <v>30</v>
      </c>
      <c r="J39" s="13" t="s">
        <v>29</v>
      </c>
      <c r="K39" s="14" t="s">
        <v>30</v>
      </c>
      <c r="L39" s="13" t="s">
        <v>29</v>
      </c>
      <c r="M39" s="14" t="s">
        <v>30</v>
      </c>
      <c r="N39" s="13" t="s">
        <v>29</v>
      </c>
      <c r="O39" s="14" t="s">
        <v>30</v>
      </c>
      <c r="P39" s="13" t="s">
        <v>29</v>
      </c>
      <c r="Q39" s="14" t="s">
        <v>30</v>
      </c>
      <c r="R39" s="13" t="s">
        <v>29</v>
      </c>
      <c r="S39" s="14" t="s">
        <v>30</v>
      </c>
      <c r="T39" s="13" t="s">
        <v>29</v>
      </c>
      <c r="U39" s="14" t="s">
        <v>30</v>
      </c>
      <c r="V39" s="13" t="s">
        <v>29</v>
      </c>
      <c r="W39" s="14" t="s">
        <v>30</v>
      </c>
      <c r="X39" s="13" t="s">
        <v>29</v>
      </c>
      <c r="Y39" s="14" t="s">
        <v>30</v>
      </c>
      <c r="Z39" s="13" t="s">
        <v>29</v>
      </c>
      <c r="AA39" s="14" t="s">
        <v>30</v>
      </c>
      <c r="AB39" s="13" t="s">
        <v>29</v>
      </c>
      <c r="AC39" s="14" t="s">
        <v>30</v>
      </c>
      <c r="AD39" s="105"/>
      <c r="AE39" s="105"/>
      <c r="AF39" s="105"/>
      <c r="AG39" s="115"/>
    </row>
    <row r="40" spans="1:33" s="6" customFormat="1" ht="18" customHeight="1" x14ac:dyDescent="0.15">
      <c r="A40" s="49">
        <f t="shared" ref="A40:F40" si="19">A19</f>
        <v>0</v>
      </c>
      <c r="B40" s="28">
        <f t="shared" si="19"/>
        <v>0</v>
      </c>
      <c r="C40" s="28">
        <f t="shared" si="19"/>
        <v>0</v>
      </c>
      <c r="D40" s="27">
        <f t="shared" si="19"/>
        <v>0</v>
      </c>
      <c r="E40" s="29">
        <f t="shared" si="19"/>
        <v>0</v>
      </c>
      <c r="F40" s="21">
        <f t="shared" si="19"/>
        <v>0</v>
      </c>
      <c r="G40" s="62" t="e">
        <f>F40/((($B$4/12)*G$17)+IF($B$11="Yes",($B$6/12)*G$17,$B$6/12))</f>
        <v>#DIV/0!</v>
      </c>
      <c r="H40" s="21">
        <f t="shared" ref="H40:H54" si="20">H19</f>
        <v>0</v>
      </c>
      <c r="I40" s="59" t="e">
        <f>H40/((($B$4/12)*I$17)+IF($B$11="Yes",($B$6/12)*I$17,$B$6/12))</f>
        <v>#DIV/0!</v>
      </c>
      <c r="J40" s="21">
        <f t="shared" ref="J40:J54" si="21">J19</f>
        <v>0</v>
      </c>
      <c r="K40" s="59" t="e">
        <f>J40/((($B$4/12)*K$17)+IF($B$11="Yes",($B$6/12)*K$17,$B$6/12))</f>
        <v>#DIV/0!</v>
      </c>
      <c r="L40" s="21">
        <f t="shared" ref="L40:L54" si="22">L19</f>
        <v>0</v>
      </c>
      <c r="M40" s="59" t="e">
        <f>L40/((($B$4/12)*M$17)+IF($B$11="Yes",($B$6/12)*M$17,$B$6/12))</f>
        <v>#DIV/0!</v>
      </c>
      <c r="N40" s="21">
        <f t="shared" ref="N40:N54" si="23">N19</f>
        <v>0</v>
      </c>
      <c r="O40" s="59" t="e">
        <f>N40/((($B$4/12)*O$17)+IF($B$11="Yes",($B$6/12)*O$17,$B$6/12))</f>
        <v>#DIV/0!</v>
      </c>
      <c r="P40" s="21">
        <f t="shared" ref="P40:P54" si="24">P19</f>
        <v>0</v>
      </c>
      <c r="Q40" s="59" t="e">
        <f>P40/((($B$4/12)*Q$17)+IF($B$11="Yes",($B$6/12)*Q$17,$B$6/12))</f>
        <v>#DIV/0!</v>
      </c>
      <c r="R40" s="21">
        <f t="shared" ref="R40:R54" si="25">R19</f>
        <v>0</v>
      </c>
      <c r="S40" s="59" t="e">
        <f>R40/((($B$4/12)*S$17)+IF($B$11="Yes",($B$6/12)*S$17,$B$6/12))</f>
        <v>#DIV/0!</v>
      </c>
      <c r="T40" s="21">
        <f t="shared" ref="T40:T54" si="26">T19</f>
        <v>0</v>
      </c>
      <c r="U40" s="59" t="e">
        <f>T40/((($B$4/12)*U$17)+IF($B$11="Yes",($B$6/12)*U$17,$B$6/12))</f>
        <v>#DIV/0!</v>
      </c>
      <c r="V40" s="21">
        <f t="shared" ref="V40:V54" si="27">V19</f>
        <v>0</v>
      </c>
      <c r="W40" s="59" t="e">
        <f>V40/((($B$4/12)*W$17)+IF($B$11="Yes",($B$6/12)*W$17,$B$6/12))</f>
        <v>#DIV/0!</v>
      </c>
      <c r="X40" s="21">
        <f t="shared" ref="X40:X54" si="28">X19</f>
        <v>0</v>
      </c>
      <c r="Y40" s="59" t="e">
        <f>X40/((($B$4/12)*Y$17)+IF($B$11="Yes",($B$6/12)*Y$17,$B$6/12))</f>
        <v>#DIV/0!</v>
      </c>
      <c r="Z40" s="21">
        <f t="shared" ref="Z40:Z54" si="29">Z19</f>
        <v>0</v>
      </c>
      <c r="AA40" s="59" t="e">
        <f>Z40/((($B$4/12)*AA$17)+IF($B$11="Yes",($B$6/12)*AA$17,$B$6/12))</f>
        <v>#DIV/0!</v>
      </c>
      <c r="AB40" s="21">
        <f t="shared" ref="AB40:AB53" si="30">AB19</f>
        <v>0</v>
      </c>
      <c r="AC40" s="59" t="e">
        <f>AB40/((($B$4/12)*AC$17)+IF($B$11="Yes",($B$6/12)*AC$17,$B$6/12))</f>
        <v>#DIV/0!</v>
      </c>
      <c r="AD40" s="22" t="e">
        <f t="shared" ref="AD40:AD55" si="31">AVERAGE(G40,I40,K40,M40,O40,Q40,S40,U40,W40,Y40,AA40,AC40)</f>
        <v>#DIV/0!</v>
      </c>
      <c r="AE40" s="23">
        <f t="shared" ref="AE40:AE55" si="32">F40+H40+J40+L40+N40+P40+R40+T40+V40+X40+Z40+AB40</f>
        <v>0</v>
      </c>
      <c r="AF40" s="23">
        <f t="shared" ref="AF40:AF43" si="33">AE40*$B$8</f>
        <v>0</v>
      </c>
      <c r="AG40" s="45">
        <f t="shared" ref="AG40:AG43" si="34">AE40+AF40</f>
        <v>0</v>
      </c>
    </row>
    <row r="41" spans="1:33" s="6" customFormat="1" ht="18" customHeight="1" x14ac:dyDescent="0.15">
      <c r="A41" s="50">
        <f t="shared" ref="A41:F54" si="35">A20</f>
        <v>0</v>
      </c>
      <c r="B41" s="32">
        <f t="shared" si="35"/>
        <v>0</v>
      </c>
      <c r="C41" s="32">
        <f t="shared" si="35"/>
        <v>0</v>
      </c>
      <c r="D41" s="31">
        <f t="shared" si="35"/>
        <v>0</v>
      </c>
      <c r="E41" s="33">
        <f t="shared" si="35"/>
        <v>0</v>
      </c>
      <c r="F41" s="21">
        <f t="shared" si="35"/>
        <v>0</v>
      </c>
      <c r="G41" s="59" t="e">
        <f t="shared" ref="G41:G54" si="36">F41/((($B$4/12)*G$17)+IF($B$11="Yes",($B$6/12)*G$17,$B$6/12))</f>
        <v>#DIV/0!</v>
      </c>
      <c r="H41" s="21">
        <f t="shared" si="20"/>
        <v>0</v>
      </c>
      <c r="I41" s="59" t="e">
        <f t="shared" ref="I41:I54" si="37">H41/((($B$4/12)*I$17)+IF($B$11="Yes",($B$6/12)*I$17,$B$6/12))</f>
        <v>#DIV/0!</v>
      </c>
      <c r="J41" s="21">
        <f t="shared" si="21"/>
        <v>0</v>
      </c>
      <c r="K41" s="59" t="e">
        <f t="shared" ref="K41:K54" si="38">J41/((($B$4/12)*K$17)+IF($B$11="Yes",($B$6/12)*K$17,$B$6/12))</f>
        <v>#DIV/0!</v>
      </c>
      <c r="L41" s="21">
        <f t="shared" si="22"/>
        <v>0</v>
      </c>
      <c r="M41" s="59" t="e">
        <f t="shared" ref="M41:M54" si="39">L41/((($B$4/12)*M$17)+IF($B$11="Yes",($B$6/12)*M$17,$B$6/12))</f>
        <v>#DIV/0!</v>
      </c>
      <c r="N41" s="21">
        <f t="shared" si="23"/>
        <v>0</v>
      </c>
      <c r="O41" s="59" t="e">
        <f t="shared" ref="O41:O54" si="40">N41/((($B$4/12)*O$17)+IF($B$11="Yes",($B$6/12)*O$17,$B$6/12))</f>
        <v>#DIV/0!</v>
      </c>
      <c r="P41" s="21">
        <f t="shared" si="24"/>
        <v>0</v>
      </c>
      <c r="Q41" s="59" t="e">
        <f t="shared" ref="Q41:Q54" si="41">P41/((($B$4/12)*Q$17)+IF($B$11="Yes",($B$6/12)*Q$17,$B$6/12))</f>
        <v>#DIV/0!</v>
      </c>
      <c r="R41" s="21">
        <f t="shared" si="25"/>
        <v>0</v>
      </c>
      <c r="S41" s="59" t="e">
        <f t="shared" ref="S41:S54" si="42">R41/((($B$4/12)*S$17)+IF($B$11="Yes",($B$6/12)*S$17,$B$6/12))</f>
        <v>#DIV/0!</v>
      </c>
      <c r="T41" s="21">
        <f t="shared" si="26"/>
        <v>0</v>
      </c>
      <c r="U41" s="59" t="e">
        <f t="shared" ref="U41:U54" si="43">T41/((($B$4/12)*U$17)+IF($B$11="Yes",($B$6/12)*U$17,$B$6/12))</f>
        <v>#DIV/0!</v>
      </c>
      <c r="V41" s="21">
        <f t="shared" si="27"/>
        <v>0</v>
      </c>
      <c r="W41" s="59" t="e">
        <f t="shared" ref="W41:W54" si="44">V41/((($B$4/12)*W$17)+IF($B$11="Yes",($B$6/12)*W$17,$B$6/12))</f>
        <v>#DIV/0!</v>
      </c>
      <c r="X41" s="21">
        <f t="shared" si="28"/>
        <v>0</v>
      </c>
      <c r="Y41" s="59" t="e">
        <f t="shared" ref="Y41:Y54" si="45">X41/((($B$4/12)*Y$17)+IF($B$11="Yes",($B$6/12)*Y$17,$B$6/12))</f>
        <v>#DIV/0!</v>
      </c>
      <c r="Z41" s="21">
        <f t="shared" si="29"/>
        <v>0</v>
      </c>
      <c r="AA41" s="59" t="e">
        <f t="shared" ref="AA41:AA54" si="46">Z41/((($B$4/12)*AA$17)+IF($B$11="Yes",($B$6/12)*AA$17,$B$6/12))</f>
        <v>#DIV/0!</v>
      </c>
      <c r="AB41" s="21">
        <f t="shared" si="30"/>
        <v>0</v>
      </c>
      <c r="AC41" s="59" t="e">
        <f t="shared" ref="AC41:AC54" si="47">AB41/((($B$4/12)*AC$17)+IF($B$11="Yes",($B$6/12)*AC$17,$B$6/12))</f>
        <v>#DIV/0!</v>
      </c>
      <c r="AD41" s="22" t="e">
        <f t="shared" si="31"/>
        <v>#DIV/0!</v>
      </c>
      <c r="AE41" s="23">
        <f t="shared" si="32"/>
        <v>0</v>
      </c>
      <c r="AF41" s="23">
        <f t="shared" si="33"/>
        <v>0</v>
      </c>
      <c r="AG41" s="45">
        <f t="shared" si="34"/>
        <v>0</v>
      </c>
    </row>
    <row r="42" spans="1:33" s="6" customFormat="1" ht="18" customHeight="1" x14ac:dyDescent="0.15">
      <c r="A42" s="50">
        <f t="shared" si="35"/>
        <v>0</v>
      </c>
      <c r="B42" s="32">
        <f t="shared" si="35"/>
        <v>0</v>
      </c>
      <c r="C42" s="32">
        <f t="shared" si="35"/>
        <v>0</v>
      </c>
      <c r="D42" s="31">
        <f t="shared" si="35"/>
        <v>0</v>
      </c>
      <c r="E42" s="33">
        <f t="shared" si="35"/>
        <v>0</v>
      </c>
      <c r="F42" s="21">
        <f t="shared" si="35"/>
        <v>0</v>
      </c>
      <c r="G42" s="59" t="e">
        <f t="shared" si="36"/>
        <v>#DIV/0!</v>
      </c>
      <c r="H42" s="21">
        <f t="shared" si="20"/>
        <v>0</v>
      </c>
      <c r="I42" s="59" t="e">
        <f t="shared" si="37"/>
        <v>#DIV/0!</v>
      </c>
      <c r="J42" s="21">
        <f t="shared" si="21"/>
        <v>0</v>
      </c>
      <c r="K42" s="59" t="e">
        <f t="shared" si="38"/>
        <v>#DIV/0!</v>
      </c>
      <c r="L42" s="21">
        <f t="shared" si="22"/>
        <v>0</v>
      </c>
      <c r="M42" s="59" t="e">
        <f t="shared" si="39"/>
        <v>#DIV/0!</v>
      </c>
      <c r="N42" s="21">
        <f t="shared" si="23"/>
        <v>0</v>
      </c>
      <c r="O42" s="59" t="e">
        <f t="shared" si="40"/>
        <v>#DIV/0!</v>
      </c>
      <c r="P42" s="21">
        <f t="shared" si="24"/>
        <v>0</v>
      </c>
      <c r="Q42" s="59" t="e">
        <f t="shared" si="41"/>
        <v>#DIV/0!</v>
      </c>
      <c r="R42" s="21">
        <f t="shared" si="25"/>
        <v>0</v>
      </c>
      <c r="S42" s="59" t="e">
        <f t="shared" si="42"/>
        <v>#DIV/0!</v>
      </c>
      <c r="T42" s="21">
        <f t="shared" si="26"/>
        <v>0</v>
      </c>
      <c r="U42" s="59" t="e">
        <f t="shared" si="43"/>
        <v>#DIV/0!</v>
      </c>
      <c r="V42" s="21">
        <f t="shared" si="27"/>
        <v>0</v>
      </c>
      <c r="W42" s="59" t="e">
        <f t="shared" si="44"/>
        <v>#DIV/0!</v>
      </c>
      <c r="X42" s="21">
        <f t="shared" si="28"/>
        <v>0</v>
      </c>
      <c r="Y42" s="59" t="e">
        <f t="shared" si="45"/>
        <v>#DIV/0!</v>
      </c>
      <c r="Z42" s="21">
        <f t="shared" si="29"/>
        <v>0</v>
      </c>
      <c r="AA42" s="59" t="e">
        <f t="shared" si="46"/>
        <v>#DIV/0!</v>
      </c>
      <c r="AB42" s="21">
        <f t="shared" si="30"/>
        <v>0</v>
      </c>
      <c r="AC42" s="59" t="e">
        <f t="shared" si="47"/>
        <v>#DIV/0!</v>
      </c>
      <c r="AD42" s="22" t="e">
        <f t="shared" si="31"/>
        <v>#DIV/0!</v>
      </c>
      <c r="AE42" s="23">
        <f t="shared" si="32"/>
        <v>0</v>
      </c>
      <c r="AF42" s="23">
        <f t="shared" si="33"/>
        <v>0</v>
      </c>
      <c r="AG42" s="45">
        <f t="shared" si="34"/>
        <v>0</v>
      </c>
    </row>
    <row r="43" spans="1:33" s="6" customFormat="1" ht="18" customHeight="1" x14ac:dyDescent="0.15">
      <c r="A43" s="50">
        <f t="shared" si="35"/>
        <v>0</v>
      </c>
      <c r="B43" s="32">
        <f t="shared" si="35"/>
        <v>0</v>
      </c>
      <c r="C43" s="32">
        <f t="shared" si="35"/>
        <v>0</v>
      </c>
      <c r="D43" s="31">
        <f t="shared" si="35"/>
        <v>0</v>
      </c>
      <c r="E43" s="33">
        <f t="shared" si="35"/>
        <v>0</v>
      </c>
      <c r="F43" s="21">
        <f t="shared" si="35"/>
        <v>0</v>
      </c>
      <c r="G43" s="59" t="e">
        <f t="shared" si="36"/>
        <v>#DIV/0!</v>
      </c>
      <c r="H43" s="21">
        <f t="shared" si="20"/>
        <v>0</v>
      </c>
      <c r="I43" s="59" t="e">
        <f t="shared" si="37"/>
        <v>#DIV/0!</v>
      </c>
      <c r="J43" s="21">
        <f t="shared" si="21"/>
        <v>0</v>
      </c>
      <c r="K43" s="59" t="e">
        <f t="shared" si="38"/>
        <v>#DIV/0!</v>
      </c>
      <c r="L43" s="21">
        <f t="shared" si="22"/>
        <v>0</v>
      </c>
      <c r="M43" s="59" t="e">
        <f t="shared" si="39"/>
        <v>#DIV/0!</v>
      </c>
      <c r="N43" s="21">
        <f t="shared" si="23"/>
        <v>0</v>
      </c>
      <c r="O43" s="59" t="e">
        <f t="shared" si="40"/>
        <v>#DIV/0!</v>
      </c>
      <c r="P43" s="21">
        <f t="shared" si="24"/>
        <v>0</v>
      </c>
      <c r="Q43" s="59" t="e">
        <f t="shared" si="41"/>
        <v>#DIV/0!</v>
      </c>
      <c r="R43" s="21">
        <f t="shared" si="25"/>
        <v>0</v>
      </c>
      <c r="S43" s="59" t="e">
        <f t="shared" si="42"/>
        <v>#DIV/0!</v>
      </c>
      <c r="T43" s="21">
        <f t="shared" si="26"/>
        <v>0</v>
      </c>
      <c r="U43" s="59" t="e">
        <f t="shared" si="43"/>
        <v>#DIV/0!</v>
      </c>
      <c r="V43" s="21">
        <f t="shared" si="27"/>
        <v>0</v>
      </c>
      <c r="W43" s="59" t="e">
        <f t="shared" si="44"/>
        <v>#DIV/0!</v>
      </c>
      <c r="X43" s="21">
        <f t="shared" si="28"/>
        <v>0</v>
      </c>
      <c r="Y43" s="59" t="e">
        <f t="shared" si="45"/>
        <v>#DIV/0!</v>
      </c>
      <c r="Z43" s="21">
        <f t="shared" si="29"/>
        <v>0</v>
      </c>
      <c r="AA43" s="59" t="e">
        <f t="shared" si="46"/>
        <v>#DIV/0!</v>
      </c>
      <c r="AB43" s="21">
        <f t="shared" si="30"/>
        <v>0</v>
      </c>
      <c r="AC43" s="59" t="e">
        <f t="shared" si="47"/>
        <v>#DIV/0!</v>
      </c>
      <c r="AD43" s="22" t="e">
        <f t="shared" si="31"/>
        <v>#DIV/0!</v>
      </c>
      <c r="AE43" s="23">
        <f t="shared" si="32"/>
        <v>0</v>
      </c>
      <c r="AF43" s="23">
        <f t="shared" si="33"/>
        <v>0</v>
      </c>
      <c r="AG43" s="45">
        <f t="shared" si="34"/>
        <v>0</v>
      </c>
    </row>
    <row r="44" spans="1:33" s="6" customFormat="1" ht="18" customHeight="1" x14ac:dyDescent="0.15">
      <c r="A44" s="50">
        <f t="shared" si="35"/>
        <v>0</v>
      </c>
      <c r="B44" s="32">
        <f t="shared" si="35"/>
        <v>0</v>
      </c>
      <c r="C44" s="32">
        <f t="shared" si="35"/>
        <v>0</v>
      </c>
      <c r="D44" s="31">
        <f t="shared" si="35"/>
        <v>0</v>
      </c>
      <c r="E44" s="33">
        <f t="shared" si="35"/>
        <v>0</v>
      </c>
      <c r="F44" s="21">
        <f t="shared" si="35"/>
        <v>0</v>
      </c>
      <c r="G44" s="59" t="e">
        <f t="shared" si="36"/>
        <v>#DIV/0!</v>
      </c>
      <c r="H44" s="21">
        <f t="shared" si="20"/>
        <v>0</v>
      </c>
      <c r="I44" s="59" t="e">
        <f t="shared" si="37"/>
        <v>#DIV/0!</v>
      </c>
      <c r="J44" s="21">
        <f t="shared" si="21"/>
        <v>0</v>
      </c>
      <c r="K44" s="59" t="e">
        <f t="shared" si="38"/>
        <v>#DIV/0!</v>
      </c>
      <c r="L44" s="21">
        <f t="shared" si="22"/>
        <v>0</v>
      </c>
      <c r="M44" s="59" t="e">
        <f t="shared" si="39"/>
        <v>#DIV/0!</v>
      </c>
      <c r="N44" s="21">
        <f t="shared" si="23"/>
        <v>0</v>
      </c>
      <c r="O44" s="59" t="e">
        <f t="shared" si="40"/>
        <v>#DIV/0!</v>
      </c>
      <c r="P44" s="21">
        <f t="shared" si="24"/>
        <v>0</v>
      </c>
      <c r="Q44" s="59" t="e">
        <f t="shared" si="41"/>
        <v>#DIV/0!</v>
      </c>
      <c r="R44" s="21">
        <f t="shared" si="25"/>
        <v>0</v>
      </c>
      <c r="S44" s="59" t="e">
        <f t="shared" si="42"/>
        <v>#DIV/0!</v>
      </c>
      <c r="T44" s="21">
        <f t="shared" si="26"/>
        <v>0</v>
      </c>
      <c r="U44" s="59" t="e">
        <f t="shared" si="43"/>
        <v>#DIV/0!</v>
      </c>
      <c r="V44" s="21">
        <f t="shared" si="27"/>
        <v>0</v>
      </c>
      <c r="W44" s="59" t="e">
        <f t="shared" si="44"/>
        <v>#DIV/0!</v>
      </c>
      <c r="X44" s="21">
        <f t="shared" si="28"/>
        <v>0</v>
      </c>
      <c r="Y44" s="59" t="e">
        <f t="shared" si="45"/>
        <v>#DIV/0!</v>
      </c>
      <c r="Z44" s="21">
        <f t="shared" si="29"/>
        <v>0</v>
      </c>
      <c r="AA44" s="59" t="e">
        <f t="shared" si="46"/>
        <v>#DIV/0!</v>
      </c>
      <c r="AB44" s="21">
        <f t="shared" si="30"/>
        <v>0</v>
      </c>
      <c r="AC44" s="59" t="e">
        <f t="shared" si="47"/>
        <v>#DIV/0!</v>
      </c>
      <c r="AD44" s="22" t="e">
        <f t="shared" si="31"/>
        <v>#DIV/0!</v>
      </c>
      <c r="AE44" s="23">
        <f t="shared" si="32"/>
        <v>0</v>
      </c>
      <c r="AF44" s="23">
        <f>AE44*$B$8</f>
        <v>0</v>
      </c>
      <c r="AG44" s="45">
        <f>AE44+AF44</f>
        <v>0</v>
      </c>
    </row>
    <row r="45" spans="1:33" s="6" customFormat="1" ht="18" customHeight="1" x14ac:dyDescent="0.15">
      <c r="A45" s="50">
        <f t="shared" si="35"/>
        <v>0</v>
      </c>
      <c r="B45" s="32">
        <f t="shared" si="35"/>
        <v>0</v>
      </c>
      <c r="C45" s="32">
        <f t="shared" si="35"/>
        <v>0</v>
      </c>
      <c r="D45" s="31">
        <f t="shared" si="35"/>
        <v>0</v>
      </c>
      <c r="E45" s="33">
        <f t="shared" si="35"/>
        <v>0</v>
      </c>
      <c r="F45" s="21">
        <f t="shared" si="35"/>
        <v>0</v>
      </c>
      <c r="G45" s="59" t="e">
        <f t="shared" si="36"/>
        <v>#DIV/0!</v>
      </c>
      <c r="H45" s="21">
        <f t="shared" si="20"/>
        <v>0</v>
      </c>
      <c r="I45" s="59" t="e">
        <f t="shared" si="37"/>
        <v>#DIV/0!</v>
      </c>
      <c r="J45" s="21">
        <f t="shared" si="21"/>
        <v>0</v>
      </c>
      <c r="K45" s="59" t="e">
        <f t="shared" si="38"/>
        <v>#DIV/0!</v>
      </c>
      <c r="L45" s="21">
        <f t="shared" si="22"/>
        <v>0</v>
      </c>
      <c r="M45" s="59" t="e">
        <f t="shared" si="39"/>
        <v>#DIV/0!</v>
      </c>
      <c r="N45" s="21">
        <f t="shared" si="23"/>
        <v>0</v>
      </c>
      <c r="O45" s="59" t="e">
        <f t="shared" si="40"/>
        <v>#DIV/0!</v>
      </c>
      <c r="P45" s="21">
        <f t="shared" si="24"/>
        <v>0</v>
      </c>
      <c r="Q45" s="59" t="e">
        <f t="shared" si="41"/>
        <v>#DIV/0!</v>
      </c>
      <c r="R45" s="21">
        <f t="shared" si="25"/>
        <v>0</v>
      </c>
      <c r="S45" s="59" t="e">
        <f t="shared" si="42"/>
        <v>#DIV/0!</v>
      </c>
      <c r="T45" s="21">
        <f t="shared" si="26"/>
        <v>0</v>
      </c>
      <c r="U45" s="59" t="e">
        <f t="shared" si="43"/>
        <v>#DIV/0!</v>
      </c>
      <c r="V45" s="21">
        <f t="shared" si="27"/>
        <v>0</v>
      </c>
      <c r="W45" s="59" t="e">
        <f t="shared" si="44"/>
        <v>#DIV/0!</v>
      </c>
      <c r="X45" s="21">
        <f t="shared" si="28"/>
        <v>0</v>
      </c>
      <c r="Y45" s="59" t="e">
        <f t="shared" si="45"/>
        <v>#DIV/0!</v>
      </c>
      <c r="Z45" s="21">
        <f t="shared" si="29"/>
        <v>0</v>
      </c>
      <c r="AA45" s="59" t="e">
        <f t="shared" si="46"/>
        <v>#DIV/0!</v>
      </c>
      <c r="AB45" s="21">
        <f t="shared" si="30"/>
        <v>0</v>
      </c>
      <c r="AC45" s="59" t="e">
        <f t="shared" si="47"/>
        <v>#DIV/0!</v>
      </c>
      <c r="AD45" s="22" t="e">
        <f t="shared" si="31"/>
        <v>#DIV/0!</v>
      </c>
      <c r="AE45" s="23">
        <f t="shared" si="32"/>
        <v>0</v>
      </c>
      <c r="AF45" s="23">
        <f t="shared" ref="AF45:AF55" si="48">AE45*$B$8</f>
        <v>0</v>
      </c>
      <c r="AG45" s="45">
        <f t="shared" ref="AG45:AG55" si="49">AE45+AF45</f>
        <v>0</v>
      </c>
    </row>
    <row r="46" spans="1:33" s="6" customFormat="1" ht="18" customHeight="1" x14ac:dyDescent="0.15">
      <c r="A46" s="50">
        <f t="shared" si="35"/>
        <v>0</v>
      </c>
      <c r="B46" s="32">
        <f t="shared" si="35"/>
        <v>0</v>
      </c>
      <c r="C46" s="32">
        <f t="shared" si="35"/>
        <v>0</v>
      </c>
      <c r="D46" s="31">
        <f t="shared" si="35"/>
        <v>0</v>
      </c>
      <c r="E46" s="33">
        <f t="shared" si="35"/>
        <v>0</v>
      </c>
      <c r="F46" s="21">
        <f t="shared" si="35"/>
        <v>0</v>
      </c>
      <c r="G46" s="59" t="e">
        <f t="shared" si="36"/>
        <v>#DIV/0!</v>
      </c>
      <c r="H46" s="21">
        <f t="shared" si="20"/>
        <v>0</v>
      </c>
      <c r="I46" s="59" t="e">
        <f t="shared" si="37"/>
        <v>#DIV/0!</v>
      </c>
      <c r="J46" s="21">
        <f t="shared" si="21"/>
        <v>0</v>
      </c>
      <c r="K46" s="59" t="e">
        <f t="shared" si="38"/>
        <v>#DIV/0!</v>
      </c>
      <c r="L46" s="21">
        <f t="shared" si="22"/>
        <v>0</v>
      </c>
      <c r="M46" s="59" t="e">
        <f t="shared" si="39"/>
        <v>#DIV/0!</v>
      </c>
      <c r="N46" s="21">
        <f t="shared" si="23"/>
        <v>0</v>
      </c>
      <c r="O46" s="59" t="e">
        <f t="shared" si="40"/>
        <v>#DIV/0!</v>
      </c>
      <c r="P46" s="21">
        <f t="shared" si="24"/>
        <v>0</v>
      </c>
      <c r="Q46" s="59" t="e">
        <f t="shared" si="41"/>
        <v>#DIV/0!</v>
      </c>
      <c r="R46" s="21">
        <f t="shared" si="25"/>
        <v>0</v>
      </c>
      <c r="S46" s="59" t="e">
        <f t="shared" si="42"/>
        <v>#DIV/0!</v>
      </c>
      <c r="T46" s="21">
        <f t="shared" si="26"/>
        <v>0</v>
      </c>
      <c r="U46" s="59" t="e">
        <f t="shared" si="43"/>
        <v>#DIV/0!</v>
      </c>
      <c r="V46" s="21">
        <f t="shared" si="27"/>
        <v>0</v>
      </c>
      <c r="W46" s="59" t="e">
        <f t="shared" si="44"/>
        <v>#DIV/0!</v>
      </c>
      <c r="X46" s="21">
        <f t="shared" si="28"/>
        <v>0</v>
      </c>
      <c r="Y46" s="59" t="e">
        <f t="shared" si="45"/>
        <v>#DIV/0!</v>
      </c>
      <c r="Z46" s="21">
        <f t="shared" si="29"/>
        <v>0</v>
      </c>
      <c r="AA46" s="59" t="e">
        <f t="shared" si="46"/>
        <v>#DIV/0!</v>
      </c>
      <c r="AB46" s="21">
        <f t="shared" si="30"/>
        <v>0</v>
      </c>
      <c r="AC46" s="59" t="e">
        <f t="shared" si="47"/>
        <v>#DIV/0!</v>
      </c>
      <c r="AD46" s="22" t="e">
        <f t="shared" si="31"/>
        <v>#DIV/0!</v>
      </c>
      <c r="AE46" s="23">
        <f t="shared" si="32"/>
        <v>0</v>
      </c>
      <c r="AF46" s="23">
        <f t="shared" si="48"/>
        <v>0</v>
      </c>
      <c r="AG46" s="45">
        <f t="shared" si="49"/>
        <v>0</v>
      </c>
    </row>
    <row r="47" spans="1:33" s="6" customFormat="1" ht="18" customHeight="1" x14ac:dyDescent="0.15">
      <c r="A47" s="50">
        <f t="shared" si="35"/>
        <v>0</v>
      </c>
      <c r="B47" s="32">
        <f t="shared" si="35"/>
        <v>0</v>
      </c>
      <c r="C47" s="32">
        <f t="shared" si="35"/>
        <v>0</v>
      </c>
      <c r="D47" s="31">
        <f t="shared" si="35"/>
        <v>0</v>
      </c>
      <c r="E47" s="33">
        <f t="shared" si="35"/>
        <v>0</v>
      </c>
      <c r="F47" s="21">
        <f t="shared" si="35"/>
        <v>0</v>
      </c>
      <c r="G47" s="59" t="e">
        <f t="shared" si="36"/>
        <v>#DIV/0!</v>
      </c>
      <c r="H47" s="21">
        <f t="shared" si="20"/>
        <v>0</v>
      </c>
      <c r="I47" s="59" t="e">
        <f t="shared" si="37"/>
        <v>#DIV/0!</v>
      </c>
      <c r="J47" s="21">
        <f t="shared" si="21"/>
        <v>0</v>
      </c>
      <c r="K47" s="59" t="e">
        <f t="shared" si="38"/>
        <v>#DIV/0!</v>
      </c>
      <c r="L47" s="21">
        <f t="shared" si="22"/>
        <v>0</v>
      </c>
      <c r="M47" s="59" t="e">
        <f t="shared" si="39"/>
        <v>#DIV/0!</v>
      </c>
      <c r="N47" s="21">
        <f t="shared" si="23"/>
        <v>0</v>
      </c>
      <c r="O47" s="59" t="e">
        <f t="shared" si="40"/>
        <v>#DIV/0!</v>
      </c>
      <c r="P47" s="21">
        <f t="shared" si="24"/>
        <v>0</v>
      </c>
      <c r="Q47" s="59" t="e">
        <f t="shared" si="41"/>
        <v>#DIV/0!</v>
      </c>
      <c r="R47" s="21">
        <f t="shared" si="25"/>
        <v>0</v>
      </c>
      <c r="S47" s="59" t="e">
        <f t="shared" si="42"/>
        <v>#DIV/0!</v>
      </c>
      <c r="T47" s="21">
        <f t="shared" si="26"/>
        <v>0</v>
      </c>
      <c r="U47" s="59" t="e">
        <f t="shared" si="43"/>
        <v>#DIV/0!</v>
      </c>
      <c r="V47" s="21">
        <f t="shared" si="27"/>
        <v>0</v>
      </c>
      <c r="W47" s="59" t="e">
        <f t="shared" si="44"/>
        <v>#DIV/0!</v>
      </c>
      <c r="X47" s="21">
        <f t="shared" si="28"/>
        <v>0</v>
      </c>
      <c r="Y47" s="59" t="e">
        <f t="shared" si="45"/>
        <v>#DIV/0!</v>
      </c>
      <c r="Z47" s="21">
        <f t="shared" si="29"/>
        <v>0</v>
      </c>
      <c r="AA47" s="59" t="e">
        <f t="shared" si="46"/>
        <v>#DIV/0!</v>
      </c>
      <c r="AB47" s="21">
        <f t="shared" si="30"/>
        <v>0</v>
      </c>
      <c r="AC47" s="59" t="e">
        <f t="shared" si="47"/>
        <v>#DIV/0!</v>
      </c>
      <c r="AD47" s="22" t="e">
        <f t="shared" si="31"/>
        <v>#DIV/0!</v>
      </c>
      <c r="AE47" s="23">
        <f t="shared" si="32"/>
        <v>0</v>
      </c>
      <c r="AF47" s="23">
        <f t="shared" si="48"/>
        <v>0</v>
      </c>
      <c r="AG47" s="45">
        <f t="shared" si="49"/>
        <v>0</v>
      </c>
    </row>
    <row r="48" spans="1:33" s="6" customFormat="1" ht="18" customHeight="1" x14ac:dyDescent="0.15">
      <c r="A48" s="50">
        <f t="shared" si="35"/>
        <v>0</v>
      </c>
      <c r="B48" s="32">
        <f t="shared" si="35"/>
        <v>0</v>
      </c>
      <c r="C48" s="32">
        <f t="shared" si="35"/>
        <v>0</v>
      </c>
      <c r="D48" s="31">
        <f t="shared" si="35"/>
        <v>0</v>
      </c>
      <c r="E48" s="33">
        <f t="shared" si="35"/>
        <v>0</v>
      </c>
      <c r="F48" s="21">
        <f t="shared" si="35"/>
        <v>0</v>
      </c>
      <c r="G48" s="59" t="e">
        <f t="shared" si="36"/>
        <v>#DIV/0!</v>
      </c>
      <c r="H48" s="21">
        <f t="shared" si="20"/>
        <v>0</v>
      </c>
      <c r="I48" s="59" t="e">
        <f t="shared" si="37"/>
        <v>#DIV/0!</v>
      </c>
      <c r="J48" s="21">
        <f t="shared" si="21"/>
        <v>0</v>
      </c>
      <c r="K48" s="59" t="e">
        <f t="shared" si="38"/>
        <v>#DIV/0!</v>
      </c>
      <c r="L48" s="21">
        <f t="shared" si="22"/>
        <v>0</v>
      </c>
      <c r="M48" s="59" t="e">
        <f t="shared" si="39"/>
        <v>#DIV/0!</v>
      </c>
      <c r="N48" s="21">
        <f t="shared" si="23"/>
        <v>0</v>
      </c>
      <c r="O48" s="59" t="e">
        <f t="shared" si="40"/>
        <v>#DIV/0!</v>
      </c>
      <c r="P48" s="21">
        <f t="shared" si="24"/>
        <v>0</v>
      </c>
      <c r="Q48" s="59" t="e">
        <f t="shared" si="41"/>
        <v>#DIV/0!</v>
      </c>
      <c r="R48" s="21">
        <f t="shared" si="25"/>
        <v>0</v>
      </c>
      <c r="S48" s="59" t="e">
        <f t="shared" si="42"/>
        <v>#DIV/0!</v>
      </c>
      <c r="T48" s="21">
        <f t="shared" si="26"/>
        <v>0</v>
      </c>
      <c r="U48" s="59" t="e">
        <f t="shared" si="43"/>
        <v>#DIV/0!</v>
      </c>
      <c r="V48" s="21">
        <f t="shared" si="27"/>
        <v>0</v>
      </c>
      <c r="W48" s="59" t="e">
        <f t="shared" si="44"/>
        <v>#DIV/0!</v>
      </c>
      <c r="X48" s="21">
        <f t="shared" si="28"/>
        <v>0</v>
      </c>
      <c r="Y48" s="59" t="e">
        <f t="shared" si="45"/>
        <v>#DIV/0!</v>
      </c>
      <c r="Z48" s="21">
        <f t="shared" si="29"/>
        <v>0</v>
      </c>
      <c r="AA48" s="59" t="e">
        <f t="shared" si="46"/>
        <v>#DIV/0!</v>
      </c>
      <c r="AB48" s="21">
        <f t="shared" si="30"/>
        <v>0</v>
      </c>
      <c r="AC48" s="59" t="e">
        <f t="shared" si="47"/>
        <v>#DIV/0!</v>
      </c>
      <c r="AD48" s="22" t="e">
        <f t="shared" si="31"/>
        <v>#DIV/0!</v>
      </c>
      <c r="AE48" s="23">
        <f t="shared" si="32"/>
        <v>0</v>
      </c>
      <c r="AF48" s="23">
        <f t="shared" si="48"/>
        <v>0</v>
      </c>
      <c r="AG48" s="45">
        <f t="shared" si="49"/>
        <v>0</v>
      </c>
    </row>
    <row r="49" spans="1:33" s="6" customFormat="1" ht="18" customHeight="1" x14ac:dyDescent="0.15">
      <c r="A49" s="50">
        <f t="shared" si="35"/>
        <v>0</v>
      </c>
      <c r="B49" s="32">
        <f t="shared" si="35"/>
        <v>0</v>
      </c>
      <c r="C49" s="32">
        <f t="shared" si="35"/>
        <v>0</v>
      </c>
      <c r="D49" s="31">
        <f t="shared" si="35"/>
        <v>0</v>
      </c>
      <c r="E49" s="33">
        <f t="shared" si="35"/>
        <v>0</v>
      </c>
      <c r="F49" s="21">
        <f t="shared" si="35"/>
        <v>0</v>
      </c>
      <c r="G49" s="59" t="e">
        <f t="shared" si="36"/>
        <v>#DIV/0!</v>
      </c>
      <c r="H49" s="21">
        <f t="shared" si="20"/>
        <v>0</v>
      </c>
      <c r="I49" s="59" t="e">
        <f t="shared" si="37"/>
        <v>#DIV/0!</v>
      </c>
      <c r="J49" s="21">
        <f t="shared" si="21"/>
        <v>0</v>
      </c>
      <c r="K49" s="59" t="e">
        <f t="shared" si="38"/>
        <v>#DIV/0!</v>
      </c>
      <c r="L49" s="21">
        <f t="shared" si="22"/>
        <v>0</v>
      </c>
      <c r="M49" s="59" t="e">
        <f t="shared" si="39"/>
        <v>#DIV/0!</v>
      </c>
      <c r="N49" s="21">
        <f t="shared" si="23"/>
        <v>0</v>
      </c>
      <c r="O49" s="59" t="e">
        <f t="shared" si="40"/>
        <v>#DIV/0!</v>
      </c>
      <c r="P49" s="21">
        <f t="shared" si="24"/>
        <v>0</v>
      </c>
      <c r="Q49" s="59" t="e">
        <f t="shared" si="41"/>
        <v>#DIV/0!</v>
      </c>
      <c r="R49" s="21">
        <f t="shared" si="25"/>
        <v>0</v>
      </c>
      <c r="S49" s="59" t="e">
        <f t="shared" si="42"/>
        <v>#DIV/0!</v>
      </c>
      <c r="T49" s="21">
        <f t="shared" si="26"/>
        <v>0</v>
      </c>
      <c r="U49" s="59" t="e">
        <f t="shared" si="43"/>
        <v>#DIV/0!</v>
      </c>
      <c r="V49" s="21">
        <f t="shared" si="27"/>
        <v>0</v>
      </c>
      <c r="W49" s="59" t="e">
        <f t="shared" si="44"/>
        <v>#DIV/0!</v>
      </c>
      <c r="X49" s="21">
        <f t="shared" si="28"/>
        <v>0</v>
      </c>
      <c r="Y49" s="59" t="e">
        <f t="shared" si="45"/>
        <v>#DIV/0!</v>
      </c>
      <c r="Z49" s="21">
        <f t="shared" si="29"/>
        <v>0</v>
      </c>
      <c r="AA49" s="59" t="e">
        <f t="shared" si="46"/>
        <v>#DIV/0!</v>
      </c>
      <c r="AB49" s="21">
        <f t="shared" si="30"/>
        <v>0</v>
      </c>
      <c r="AC49" s="59" t="e">
        <f t="shared" si="47"/>
        <v>#DIV/0!</v>
      </c>
      <c r="AD49" s="22" t="e">
        <f t="shared" si="31"/>
        <v>#DIV/0!</v>
      </c>
      <c r="AE49" s="23">
        <f t="shared" si="32"/>
        <v>0</v>
      </c>
      <c r="AF49" s="23">
        <f t="shared" si="48"/>
        <v>0</v>
      </c>
      <c r="AG49" s="45">
        <f t="shared" si="49"/>
        <v>0</v>
      </c>
    </row>
    <row r="50" spans="1:33" s="6" customFormat="1" ht="18" customHeight="1" x14ac:dyDescent="0.15">
      <c r="A50" s="50">
        <f t="shared" si="35"/>
        <v>0</v>
      </c>
      <c r="B50" s="32">
        <f t="shared" si="35"/>
        <v>0</v>
      </c>
      <c r="C50" s="32">
        <f t="shared" si="35"/>
        <v>0</v>
      </c>
      <c r="D50" s="31">
        <f t="shared" si="35"/>
        <v>0</v>
      </c>
      <c r="E50" s="33">
        <f t="shared" si="35"/>
        <v>0</v>
      </c>
      <c r="F50" s="21">
        <f t="shared" si="35"/>
        <v>0</v>
      </c>
      <c r="G50" s="59" t="e">
        <f t="shared" si="36"/>
        <v>#DIV/0!</v>
      </c>
      <c r="H50" s="21">
        <f t="shared" si="20"/>
        <v>0</v>
      </c>
      <c r="I50" s="59" t="e">
        <f t="shared" si="37"/>
        <v>#DIV/0!</v>
      </c>
      <c r="J50" s="21">
        <f t="shared" si="21"/>
        <v>0</v>
      </c>
      <c r="K50" s="59" t="e">
        <f t="shared" si="38"/>
        <v>#DIV/0!</v>
      </c>
      <c r="L50" s="21">
        <f t="shared" si="22"/>
        <v>0</v>
      </c>
      <c r="M50" s="59" t="e">
        <f t="shared" si="39"/>
        <v>#DIV/0!</v>
      </c>
      <c r="N50" s="21">
        <f t="shared" si="23"/>
        <v>0</v>
      </c>
      <c r="O50" s="59" t="e">
        <f t="shared" si="40"/>
        <v>#DIV/0!</v>
      </c>
      <c r="P50" s="21">
        <f t="shared" si="24"/>
        <v>0</v>
      </c>
      <c r="Q50" s="59" t="e">
        <f t="shared" si="41"/>
        <v>#DIV/0!</v>
      </c>
      <c r="R50" s="21">
        <f t="shared" si="25"/>
        <v>0</v>
      </c>
      <c r="S50" s="59" t="e">
        <f t="shared" si="42"/>
        <v>#DIV/0!</v>
      </c>
      <c r="T50" s="21">
        <f t="shared" si="26"/>
        <v>0</v>
      </c>
      <c r="U50" s="59" t="e">
        <f t="shared" si="43"/>
        <v>#DIV/0!</v>
      </c>
      <c r="V50" s="21">
        <f t="shared" si="27"/>
        <v>0</v>
      </c>
      <c r="W50" s="59" t="e">
        <f t="shared" si="44"/>
        <v>#DIV/0!</v>
      </c>
      <c r="X50" s="21">
        <f t="shared" si="28"/>
        <v>0</v>
      </c>
      <c r="Y50" s="59" t="e">
        <f t="shared" si="45"/>
        <v>#DIV/0!</v>
      </c>
      <c r="Z50" s="21">
        <f t="shared" si="29"/>
        <v>0</v>
      </c>
      <c r="AA50" s="59" t="e">
        <f t="shared" si="46"/>
        <v>#DIV/0!</v>
      </c>
      <c r="AB50" s="21">
        <f t="shared" si="30"/>
        <v>0</v>
      </c>
      <c r="AC50" s="59" t="e">
        <f t="shared" si="47"/>
        <v>#DIV/0!</v>
      </c>
      <c r="AD50" s="22" t="e">
        <f t="shared" si="31"/>
        <v>#DIV/0!</v>
      </c>
      <c r="AE50" s="23">
        <f t="shared" si="32"/>
        <v>0</v>
      </c>
      <c r="AF50" s="23">
        <f t="shared" si="48"/>
        <v>0</v>
      </c>
      <c r="AG50" s="45">
        <f t="shared" si="49"/>
        <v>0</v>
      </c>
    </row>
    <row r="51" spans="1:33" s="6" customFormat="1" ht="18" customHeight="1" x14ac:dyDescent="0.15">
      <c r="A51" s="50">
        <f t="shared" si="35"/>
        <v>0</v>
      </c>
      <c r="B51" s="32">
        <f t="shared" si="35"/>
        <v>0</v>
      </c>
      <c r="C51" s="32">
        <f t="shared" si="35"/>
        <v>0</v>
      </c>
      <c r="D51" s="31">
        <f t="shared" si="35"/>
        <v>0</v>
      </c>
      <c r="E51" s="33">
        <f t="shared" si="35"/>
        <v>0</v>
      </c>
      <c r="F51" s="21">
        <f t="shared" si="35"/>
        <v>0</v>
      </c>
      <c r="G51" s="59" t="e">
        <f t="shared" si="36"/>
        <v>#DIV/0!</v>
      </c>
      <c r="H51" s="21">
        <f t="shared" si="20"/>
        <v>0</v>
      </c>
      <c r="I51" s="59" t="e">
        <f t="shared" si="37"/>
        <v>#DIV/0!</v>
      </c>
      <c r="J51" s="21">
        <f t="shared" si="21"/>
        <v>0</v>
      </c>
      <c r="K51" s="59" t="e">
        <f t="shared" si="38"/>
        <v>#DIV/0!</v>
      </c>
      <c r="L51" s="21">
        <f t="shared" si="22"/>
        <v>0</v>
      </c>
      <c r="M51" s="59" t="e">
        <f t="shared" si="39"/>
        <v>#DIV/0!</v>
      </c>
      <c r="N51" s="21">
        <f t="shared" si="23"/>
        <v>0</v>
      </c>
      <c r="O51" s="59" t="e">
        <f t="shared" si="40"/>
        <v>#DIV/0!</v>
      </c>
      <c r="P51" s="21">
        <f t="shared" si="24"/>
        <v>0</v>
      </c>
      <c r="Q51" s="59" t="e">
        <f t="shared" si="41"/>
        <v>#DIV/0!</v>
      </c>
      <c r="R51" s="21">
        <f t="shared" si="25"/>
        <v>0</v>
      </c>
      <c r="S51" s="59" t="e">
        <f t="shared" si="42"/>
        <v>#DIV/0!</v>
      </c>
      <c r="T51" s="21">
        <f t="shared" si="26"/>
        <v>0</v>
      </c>
      <c r="U51" s="59" t="e">
        <f t="shared" si="43"/>
        <v>#DIV/0!</v>
      </c>
      <c r="V51" s="21">
        <f t="shared" si="27"/>
        <v>0</v>
      </c>
      <c r="W51" s="59" t="e">
        <f t="shared" si="44"/>
        <v>#DIV/0!</v>
      </c>
      <c r="X51" s="21">
        <f t="shared" si="28"/>
        <v>0</v>
      </c>
      <c r="Y51" s="59" t="e">
        <f t="shared" si="45"/>
        <v>#DIV/0!</v>
      </c>
      <c r="Z51" s="21">
        <f t="shared" si="29"/>
        <v>0</v>
      </c>
      <c r="AA51" s="59" t="e">
        <f t="shared" si="46"/>
        <v>#DIV/0!</v>
      </c>
      <c r="AB51" s="21">
        <f t="shared" si="30"/>
        <v>0</v>
      </c>
      <c r="AC51" s="59" t="e">
        <f t="shared" si="47"/>
        <v>#DIV/0!</v>
      </c>
      <c r="AD51" s="22" t="e">
        <f t="shared" si="31"/>
        <v>#DIV/0!</v>
      </c>
      <c r="AE51" s="23">
        <f t="shared" si="32"/>
        <v>0</v>
      </c>
      <c r="AF51" s="23">
        <f t="shared" si="48"/>
        <v>0</v>
      </c>
      <c r="AG51" s="45">
        <f t="shared" si="49"/>
        <v>0</v>
      </c>
    </row>
    <row r="52" spans="1:33" s="6" customFormat="1" ht="18" customHeight="1" x14ac:dyDescent="0.15">
      <c r="A52" s="50">
        <f t="shared" si="35"/>
        <v>0</v>
      </c>
      <c r="B52" s="32">
        <f t="shared" si="35"/>
        <v>0</v>
      </c>
      <c r="C52" s="32">
        <f t="shared" si="35"/>
        <v>0</v>
      </c>
      <c r="D52" s="31">
        <f t="shared" si="35"/>
        <v>0</v>
      </c>
      <c r="E52" s="33">
        <f t="shared" si="35"/>
        <v>0</v>
      </c>
      <c r="F52" s="21">
        <f t="shared" si="35"/>
        <v>0</v>
      </c>
      <c r="G52" s="59" t="e">
        <f t="shared" si="36"/>
        <v>#DIV/0!</v>
      </c>
      <c r="H52" s="21">
        <f t="shared" si="20"/>
        <v>0</v>
      </c>
      <c r="I52" s="59" t="e">
        <f t="shared" si="37"/>
        <v>#DIV/0!</v>
      </c>
      <c r="J52" s="21">
        <f t="shared" si="21"/>
        <v>0</v>
      </c>
      <c r="K52" s="59" t="e">
        <f t="shared" si="38"/>
        <v>#DIV/0!</v>
      </c>
      <c r="L52" s="21">
        <f t="shared" si="22"/>
        <v>0</v>
      </c>
      <c r="M52" s="59" t="e">
        <f t="shared" si="39"/>
        <v>#DIV/0!</v>
      </c>
      <c r="N52" s="21">
        <f t="shared" si="23"/>
        <v>0</v>
      </c>
      <c r="O52" s="59" t="e">
        <f t="shared" si="40"/>
        <v>#DIV/0!</v>
      </c>
      <c r="P52" s="21">
        <f t="shared" si="24"/>
        <v>0</v>
      </c>
      <c r="Q52" s="59" t="e">
        <f t="shared" si="41"/>
        <v>#DIV/0!</v>
      </c>
      <c r="R52" s="21">
        <f t="shared" si="25"/>
        <v>0</v>
      </c>
      <c r="S52" s="59" t="e">
        <f t="shared" si="42"/>
        <v>#DIV/0!</v>
      </c>
      <c r="T52" s="21">
        <f t="shared" si="26"/>
        <v>0</v>
      </c>
      <c r="U52" s="59" t="e">
        <f t="shared" si="43"/>
        <v>#DIV/0!</v>
      </c>
      <c r="V52" s="21">
        <f t="shared" si="27"/>
        <v>0</v>
      </c>
      <c r="W52" s="59" t="e">
        <f t="shared" si="44"/>
        <v>#DIV/0!</v>
      </c>
      <c r="X52" s="21">
        <f t="shared" si="28"/>
        <v>0</v>
      </c>
      <c r="Y52" s="59" t="e">
        <f t="shared" si="45"/>
        <v>#DIV/0!</v>
      </c>
      <c r="Z52" s="21">
        <f t="shared" si="29"/>
        <v>0</v>
      </c>
      <c r="AA52" s="59" t="e">
        <f t="shared" si="46"/>
        <v>#DIV/0!</v>
      </c>
      <c r="AB52" s="21">
        <f t="shared" si="30"/>
        <v>0</v>
      </c>
      <c r="AC52" s="59" t="e">
        <f t="shared" si="47"/>
        <v>#DIV/0!</v>
      </c>
      <c r="AD52" s="22" t="e">
        <f t="shared" si="31"/>
        <v>#DIV/0!</v>
      </c>
      <c r="AE52" s="23">
        <f t="shared" si="32"/>
        <v>0</v>
      </c>
      <c r="AF52" s="23">
        <f t="shared" si="48"/>
        <v>0</v>
      </c>
      <c r="AG52" s="45">
        <f t="shared" si="49"/>
        <v>0</v>
      </c>
    </row>
    <row r="53" spans="1:33" s="6" customFormat="1" ht="18" customHeight="1" x14ac:dyDescent="0.15">
      <c r="A53" s="50">
        <f t="shared" si="35"/>
        <v>0</v>
      </c>
      <c r="B53" s="32">
        <f t="shared" si="35"/>
        <v>0</v>
      </c>
      <c r="C53" s="32">
        <f t="shared" si="35"/>
        <v>0</v>
      </c>
      <c r="D53" s="31">
        <f t="shared" si="35"/>
        <v>0</v>
      </c>
      <c r="E53" s="33">
        <f t="shared" si="35"/>
        <v>0</v>
      </c>
      <c r="F53" s="21">
        <f t="shared" si="35"/>
        <v>0</v>
      </c>
      <c r="G53" s="59" t="e">
        <f t="shared" si="36"/>
        <v>#DIV/0!</v>
      </c>
      <c r="H53" s="21">
        <f t="shared" si="20"/>
        <v>0</v>
      </c>
      <c r="I53" s="59" t="e">
        <f t="shared" si="37"/>
        <v>#DIV/0!</v>
      </c>
      <c r="J53" s="21">
        <f t="shared" si="21"/>
        <v>0</v>
      </c>
      <c r="K53" s="59" t="e">
        <f t="shared" si="38"/>
        <v>#DIV/0!</v>
      </c>
      <c r="L53" s="21">
        <f t="shared" si="22"/>
        <v>0</v>
      </c>
      <c r="M53" s="59" t="e">
        <f t="shared" si="39"/>
        <v>#DIV/0!</v>
      </c>
      <c r="N53" s="21">
        <f t="shared" si="23"/>
        <v>0</v>
      </c>
      <c r="O53" s="59" t="e">
        <f t="shared" si="40"/>
        <v>#DIV/0!</v>
      </c>
      <c r="P53" s="21">
        <f t="shared" si="24"/>
        <v>0</v>
      </c>
      <c r="Q53" s="59" t="e">
        <f t="shared" si="41"/>
        <v>#DIV/0!</v>
      </c>
      <c r="R53" s="21">
        <f t="shared" si="25"/>
        <v>0</v>
      </c>
      <c r="S53" s="59" t="e">
        <f t="shared" si="42"/>
        <v>#DIV/0!</v>
      </c>
      <c r="T53" s="21">
        <f t="shared" si="26"/>
        <v>0</v>
      </c>
      <c r="U53" s="59" t="e">
        <f t="shared" si="43"/>
        <v>#DIV/0!</v>
      </c>
      <c r="V53" s="21">
        <f t="shared" si="27"/>
        <v>0</v>
      </c>
      <c r="W53" s="59" t="e">
        <f t="shared" si="44"/>
        <v>#DIV/0!</v>
      </c>
      <c r="X53" s="21">
        <f t="shared" si="28"/>
        <v>0</v>
      </c>
      <c r="Y53" s="59" t="e">
        <f t="shared" si="45"/>
        <v>#DIV/0!</v>
      </c>
      <c r="Z53" s="21">
        <f t="shared" si="29"/>
        <v>0</v>
      </c>
      <c r="AA53" s="59" t="e">
        <f t="shared" si="46"/>
        <v>#DIV/0!</v>
      </c>
      <c r="AB53" s="21">
        <f t="shared" si="30"/>
        <v>0</v>
      </c>
      <c r="AC53" s="59" t="e">
        <f t="shared" si="47"/>
        <v>#DIV/0!</v>
      </c>
      <c r="AD53" s="22" t="e">
        <f t="shared" si="31"/>
        <v>#DIV/0!</v>
      </c>
      <c r="AE53" s="23">
        <f t="shared" si="32"/>
        <v>0</v>
      </c>
      <c r="AF53" s="23">
        <f t="shared" si="48"/>
        <v>0</v>
      </c>
      <c r="AG53" s="45">
        <f t="shared" si="49"/>
        <v>0</v>
      </c>
    </row>
    <row r="54" spans="1:33" s="6" customFormat="1" ht="18" customHeight="1" x14ac:dyDescent="0.15">
      <c r="A54" s="50">
        <f t="shared" si="35"/>
        <v>0</v>
      </c>
      <c r="B54" s="32">
        <f t="shared" si="35"/>
        <v>0</v>
      </c>
      <c r="C54" s="32">
        <f t="shared" si="35"/>
        <v>0</v>
      </c>
      <c r="D54" s="31">
        <f t="shared" si="35"/>
        <v>0</v>
      </c>
      <c r="E54" s="33">
        <f t="shared" si="35"/>
        <v>0</v>
      </c>
      <c r="F54" s="21">
        <f t="shared" si="35"/>
        <v>0</v>
      </c>
      <c r="G54" s="59" t="e">
        <f t="shared" si="36"/>
        <v>#DIV/0!</v>
      </c>
      <c r="H54" s="21">
        <f t="shared" si="20"/>
        <v>0</v>
      </c>
      <c r="I54" s="59" t="e">
        <f t="shared" si="37"/>
        <v>#DIV/0!</v>
      </c>
      <c r="J54" s="21">
        <f t="shared" si="21"/>
        <v>0</v>
      </c>
      <c r="K54" s="59" t="e">
        <f t="shared" si="38"/>
        <v>#DIV/0!</v>
      </c>
      <c r="L54" s="21">
        <f t="shared" si="22"/>
        <v>0</v>
      </c>
      <c r="M54" s="59" t="e">
        <f t="shared" si="39"/>
        <v>#DIV/0!</v>
      </c>
      <c r="N54" s="21">
        <f t="shared" si="23"/>
        <v>0</v>
      </c>
      <c r="O54" s="59" t="e">
        <f t="shared" si="40"/>
        <v>#DIV/0!</v>
      </c>
      <c r="P54" s="21">
        <f t="shared" si="24"/>
        <v>0</v>
      </c>
      <c r="Q54" s="59" t="e">
        <f t="shared" si="41"/>
        <v>#DIV/0!</v>
      </c>
      <c r="R54" s="21">
        <f t="shared" si="25"/>
        <v>0</v>
      </c>
      <c r="S54" s="59" t="e">
        <f t="shared" si="42"/>
        <v>#DIV/0!</v>
      </c>
      <c r="T54" s="21">
        <f t="shared" si="26"/>
        <v>0</v>
      </c>
      <c r="U54" s="59" t="e">
        <f t="shared" si="43"/>
        <v>#DIV/0!</v>
      </c>
      <c r="V54" s="21">
        <f t="shared" si="27"/>
        <v>0</v>
      </c>
      <c r="W54" s="59" t="e">
        <f t="shared" si="44"/>
        <v>#DIV/0!</v>
      </c>
      <c r="X54" s="21">
        <f t="shared" si="28"/>
        <v>0</v>
      </c>
      <c r="Y54" s="59" t="e">
        <f t="shared" si="45"/>
        <v>#DIV/0!</v>
      </c>
      <c r="Z54" s="21">
        <f t="shared" si="29"/>
        <v>0</v>
      </c>
      <c r="AA54" s="59" t="e">
        <f t="shared" si="46"/>
        <v>#DIV/0!</v>
      </c>
      <c r="AB54" s="21">
        <f>AB33</f>
        <v>0</v>
      </c>
      <c r="AC54" s="59" t="e">
        <f t="shared" si="47"/>
        <v>#DIV/0!</v>
      </c>
      <c r="AD54" s="22" t="e">
        <f t="shared" si="31"/>
        <v>#DIV/0!</v>
      </c>
      <c r="AE54" s="23">
        <f t="shared" si="32"/>
        <v>0</v>
      </c>
      <c r="AF54" s="23">
        <f t="shared" si="48"/>
        <v>0</v>
      </c>
      <c r="AG54" s="45">
        <f t="shared" si="49"/>
        <v>0</v>
      </c>
    </row>
    <row r="55" spans="1:33" s="6" customFormat="1" ht="18" customHeight="1" x14ac:dyDescent="0.15">
      <c r="A55" s="51" t="s">
        <v>32</v>
      </c>
      <c r="B55" s="25"/>
      <c r="C55" s="25"/>
      <c r="D55" s="24"/>
      <c r="E55" s="26"/>
      <c r="F55" s="21" t="str">
        <f>IF(ROUND($G$34,4)&lt;&gt;1,"FIX BASE",IF(SUM(F40:F54)=0,"",IF(ROUND(SUM(F40:F54),2)&gt;ROUND((($B$4/12)*G$17)+IF($B$11="Yes",($B$6/12)*G$17,$B$6/12),2),"OVER",((($B$4/12)*G$17)+IF($B$11="Yes",($B$6/12)*G$17,$B$6/12))-SUM(F40:F54))))</f>
        <v>FIX BASE</v>
      </c>
      <c r="G55" s="30" t="str">
        <f>IF(OR(F55="",F55="OVER",F55="FIX BASE",((($B$4/12)*G$17)+IF($B$11="Yes",($B$6/12)*G$17,$B$6/12))=0),"",F55/((($B$4/12)*G$17)+IF($B$11="Yes",($B$6/12)*G$17,$B$6/12)))</f>
        <v/>
      </c>
      <c r="H55" s="21" t="str">
        <f>IF(ROUND($I$34,4)&lt;&gt;1,"FIX BASE",IF(SUM(H40:H54)=0,"",IF(ROUND(SUM(H40:H54),2)&gt;ROUND((($B$4/12)*I$17)+IF($B$11="Yes",($B$6/12)*I$17,$B$6/12),2),"OVER",((($B$4/12)*I$17)+IF($B$11="Yes",($B$6/12)*I$17,$B$6/12))-SUM(H40:H54))))</f>
        <v>FIX BASE</v>
      </c>
      <c r="I55" s="30" t="str">
        <f>IF(OR(H55="",H55="OVER",H55="FIX BASE",((($B$4/12)*I$17)+IF($B$11="Yes",($B$6/12)*I$17,$B$6/12))=0),"",H55/((($B$4/12)*I$17)+IF($B$11="Yes",($B$6/12)*I$17,$B$6/12)))</f>
        <v/>
      </c>
      <c r="J55" s="21" t="str">
        <f>IF(ROUND($K$34,4)&lt;&gt;1,"FIX BASE",IF(SUM(J40:J54)=0,"",IF(ROUND(SUM(J40:J54),2)&gt;ROUND((($B$4/12)*K$17)+IF($B$11="Yes",($B$6/12)*K$17,$B$6/12),2),"OVER",((($B$4/12)*K$17)+IF($B$11="Yes",($B$6/12)*K$17,$B$6/12))-SUM(J40:J54))))</f>
        <v>FIX BASE</v>
      </c>
      <c r="K55" s="30" t="str">
        <f>IF(OR(J55="",J55="OVER",J55="FIX BASE",((($B$4/12)*K$17)+IF($B$11="Yes",($B$6/12)*K$17,$B$6/12))=0),"",J55/((($B$4/12)*K$17)+IF($B$11="Yes",($B$6/12)*K$17,$B$6/12)))</f>
        <v/>
      </c>
      <c r="L55" s="21" t="str">
        <f>IF(ROUND($M$34,4)&lt;&gt;1,"FIX BASE",IF(SUM(L40:L54)=0,"",IF(ROUND(SUM(L40:L54),2)&gt;ROUND((($B$4/12)*M$17)+IF($B$11="Yes",($B$6/12)*M$17,$B$6/12),2),"OVER",((($B$4/12)*M$17)+IF($B$11="Yes",($B$6/12)*M$17,$B$6/12))-SUM(L40:L54))))</f>
        <v>FIX BASE</v>
      </c>
      <c r="M55" s="30" t="str">
        <f>IF(OR(L55="",L55="OVER",L55="FIX BASE",((($B$4/12)*M$17)+IF($B$11="Yes",($B$6/12)*M$17,$B$6/12))=0),"",L55/((($B$4/12)*M$17)+IF($B$11="Yes",($B$6/12)*M$17,$B$6/12)))</f>
        <v/>
      </c>
      <c r="N55" s="21" t="str">
        <f>IF(ROUND($O$34,4)&lt;&gt;1,"FIX BASE",IF(SUM(N40:N54)=0,"",IF(ROUND(SUM(N40:N54),2)&gt;ROUND((($B$4/12)*O$17)+IF($B$11="Yes",($B$6/12)*O$17,$B$6/12),2),"OVER",((($B$4/12)*O$17)+IF($B$11="Yes",($B$6/12)*O$17,$B$6/12))-SUM(N40:N54))))</f>
        <v>FIX BASE</v>
      </c>
      <c r="O55" s="59" t="str">
        <f>IF(OR(N55="",N55="OVER",N55="FIX BASE",((($B$4/12)*O$17)+IF($B$11="Yes",($B$6/12)*O$17,$B$6/12))=0),"",N55/((($B$4/12)*O$17)+IF($B$11="Yes",($B$6/12)*O$17,$B$6/12)))</f>
        <v/>
      </c>
      <c r="P55" s="21" t="str">
        <f>IF(ROUND($Q$34,4)&lt;&gt;1,"FIX BASE",IF(SUM(P40:P54)=0,"",IF(ROUND(SUM(P40:P54),2)&gt;ROUND((($B$4/12)*Q$17)+IF($B$11="Yes",($B$6/12)*Q$17,$B$6/12),2),"OVER",((($B$4/12)*Q$17)+IF($B$11="Yes",($B$6/12)*Q$17,$B$6/12))-SUM(P40:P54))))</f>
        <v>FIX BASE</v>
      </c>
      <c r="Q55" s="59" t="str">
        <f>IF(OR(P55="",P55="OVER",P55="FIX BASE",((($B$4/12)*Q$17)+IF($B$11="Yes",($B$6/12)*Q$17,$B$6/12))=0),"",P55/((($B$4/12)*Q$17)+IF($B$11="Yes",($B$6/12)*Q$17,$B$6/12)))</f>
        <v/>
      </c>
      <c r="R55" s="21" t="str">
        <f>IF(ROUND($S$34,4)&lt;&gt;1,"FIX BASE",IF(SUM(R40:R54)=0,"",IF(ROUND(SUM(R40:R54),2)&gt;ROUND((($B$4/12)*S$17)+IF($B$11="Yes",($B$6/12)*S$17,$B$6/12),2),"OVER",((($B$4/12)*S$17)+IF($B$11="Yes",($B$6/12)*S$17,$B$6/12))-SUM(R40:R54))))</f>
        <v>FIX BASE</v>
      </c>
      <c r="S55" s="59" t="str">
        <f>IF(OR(R55="",R55="OVER",R55="FIX BASE",((($B$4/12)*S$17)+IF($B$11="Yes",($B$6/12)*S$17,$B$6/12))=0),"",R55/((($B$4/12)*S$17)+IF($B$11="Yes",($B$6/12)*S$17,$B$6/12)))</f>
        <v/>
      </c>
      <c r="T55" s="21" t="str">
        <f>IF(ROUND($U$34,4)&lt;&gt;1,"FIX BASE",IF(SUM(T40:T54)=0,"",IF(ROUND(SUM(T40:T54),2)&gt;ROUND((($B$4/12)*U$17)+IF($B$11="Yes",($B$6/12)*U$17,$B$6/12),2),"OVER",((($B$4/12)*U$17)+IF($B$11="Yes",($B$6/12)*U$17,$B$6/12))-SUM(T40:T54))))</f>
        <v>FIX BASE</v>
      </c>
      <c r="U55" s="59" t="str">
        <f>IF(OR(T55="",T55="OVER",T55="FIX BASE",((($B$4/12)*U$17)+IF($B$11="Yes",($B$6/12)*U$17,$B$6/12))=0),"",T55/((($B$4/12)*U$17)+IF($B$11="Yes",($B$6/12)*U$17,$B$6/12)))</f>
        <v/>
      </c>
      <c r="V55" s="21" t="str">
        <f>IF(ROUND($W$34,4)&lt;&gt;1,"FIX BASE",IF(SUM(V40:V54)=0,"",IF(ROUND(SUM(V40:V54),2)&gt;ROUND((($B$4/12)*W$17)+IF($B$11="Yes",($B$6/12)*W$17,$B$6/12),2),"OVER",((($B$4/12)*W$17)+IF($B$11="Yes",($B$6/12)*W$17,$B$6/12))-SUM(V40:V54))))</f>
        <v>FIX BASE</v>
      </c>
      <c r="W55" s="59" t="str">
        <f>IF(OR(V55="",V55="OVER",V55="FIX BASE",((($B$4/12)*W$17)+IF($B$11="Yes",($B$6/12)*W$17,$B$6/12))=0),"",V55/((($B$4/12)*W$17)+IF($B$11="Yes",($B$6/12)*W$17,$B$6/12)))</f>
        <v/>
      </c>
      <c r="X55" s="21" t="str">
        <f>IF(ROUND($Y$34,4)&lt;&gt;1,"FIX BASE",IF(SUM(X40:X54)=0,"",IF(ROUND(SUM(X40:X54),2)&gt;ROUND((($B$4/12)*Y$17)+IF($B$11="Yes",($B$6/12)*Y$17,$B$6/12),2),"OVER",((($B$4/12)*Y$17)+IF($B$11="Yes",($B$6/12)*Y$17,$B$6/12))-SUM(X40:X54))))</f>
        <v>FIX BASE</v>
      </c>
      <c r="Y55" s="59" t="str">
        <f>IF(OR(X55="",X55="OVER",X55="FIX BASE",((($B$4/12)*Y$17)+IF($B$11="Yes",($B$6/12)*Y$17,$B$6/12))=0),"",X55/((($B$4/12)*Y$17)+IF($B$11="Yes",($B$6/12)*Y$17,$B$6/12)))</f>
        <v/>
      </c>
      <c r="Z55" s="21" t="str">
        <f>IF(ROUND($AA$34,4)&lt;&gt;1,"FIX BASE",IF(SUM(Z40:Z54)=0,"",IF(ROUND(SUM(Z40:Z54),2)&gt;ROUND((($B$4/12)*AA$17)+IF($B$11="Yes",($B$6/12)*AA$17,$B$6/12),2),"OVER",((($B$4/12)*AA$17)+IF($B$11="Yes",($B$6/12)*AA$17,$B$6/12))-SUM(Z40:Z54))))</f>
        <v>FIX BASE</v>
      </c>
      <c r="AA55" s="59" t="str">
        <f>IF(OR(Z55="",Z55="OVER",Z55="FIX BASE",((($B$4/12)*AA$17)+IF($B$11="Yes",($B$6/12)*AA$17,$B$6/12))=0),"",Z55/((($B$4/12)*AA$17)+IF($B$11="Yes",($B$6/12)*AA$17,$B$6/12)))</f>
        <v/>
      </c>
      <c r="AB55" s="21" t="str">
        <f>IF(ROUND($AC$34,4)&lt;&gt;1,"FIX BASE",IF(SUM(AB40:AB54)=0,"",IF(ROUND(SUM(AB40:AB54),2)&gt;ROUND((($B$4/12)*AC$17)+IF($B$11="Yes",($B$6/12)*AC$17,$B$6/12),2),"OVER",((($B$4/12)*AC$17)+IF($B$11="Yes",($B$6/12)*AC$17,$B$6/12))-SUM(AB40:AB54))))</f>
        <v>FIX BASE</v>
      </c>
      <c r="AC55" s="59" t="str">
        <f>IF(OR(AB55="",AB55="OVER",AB55="FIX BASE",((($B$4/12)*AC$17)+IF($B$11="Yes",($B$6/12)*AC$17,$B$6/12))=0),"",AB55/((($B$4/12)*AC$17)+IF($B$11="Yes",($B$6/12)*AC$17,$B$6/12)))</f>
        <v/>
      </c>
      <c r="AD55" s="22" t="e">
        <f t="shared" si="31"/>
        <v>#DIV/0!</v>
      </c>
      <c r="AE55" s="23" t="e">
        <f t="shared" si="32"/>
        <v>#VALUE!</v>
      </c>
      <c r="AF55" s="23" t="e">
        <f t="shared" si="48"/>
        <v>#VALUE!</v>
      </c>
      <c r="AG55" s="45" t="e">
        <f t="shared" si="49"/>
        <v>#VALUE!</v>
      </c>
    </row>
    <row r="56" spans="1:33" ht="18" customHeight="1" thickBot="1" x14ac:dyDescent="0.2">
      <c r="A56" s="69" t="s">
        <v>25</v>
      </c>
      <c r="B56" s="70"/>
      <c r="C56" s="70"/>
      <c r="D56" s="70"/>
      <c r="E56" s="70"/>
      <c r="F56" s="52">
        <f>SUM(F40:F55)</f>
        <v>0</v>
      </c>
      <c r="G56" s="53" t="e">
        <f>SUM(G40:G55)</f>
        <v>#DIV/0!</v>
      </c>
      <c r="H56" s="52">
        <f t="shared" ref="H56:AC56" si="50">SUM(H40:H55)</f>
        <v>0</v>
      </c>
      <c r="I56" s="53" t="e">
        <f t="shared" si="50"/>
        <v>#DIV/0!</v>
      </c>
      <c r="J56" s="52">
        <f t="shared" si="50"/>
        <v>0</v>
      </c>
      <c r="K56" s="53" t="e">
        <f t="shared" si="50"/>
        <v>#DIV/0!</v>
      </c>
      <c r="L56" s="52">
        <f t="shared" si="50"/>
        <v>0</v>
      </c>
      <c r="M56" s="53" t="e">
        <f t="shared" si="50"/>
        <v>#DIV/0!</v>
      </c>
      <c r="N56" s="52">
        <f t="shared" si="50"/>
        <v>0</v>
      </c>
      <c r="O56" s="54" t="e">
        <f t="shared" si="50"/>
        <v>#DIV/0!</v>
      </c>
      <c r="P56" s="55">
        <f t="shared" si="50"/>
        <v>0</v>
      </c>
      <c r="Q56" s="54" t="e">
        <f t="shared" si="50"/>
        <v>#DIV/0!</v>
      </c>
      <c r="R56" s="55">
        <f t="shared" si="50"/>
        <v>0</v>
      </c>
      <c r="S56" s="54" t="e">
        <f t="shared" si="50"/>
        <v>#DIV/0!</v>
      </c>
      <c r="T56" s="55">
        <f t="shared" si="50"/>
        <v>0</v>
      </c>
      <c r="U56" s="54" t="e">
        <f t="shared" si="50"/>
        <v>#DIV/0!</v>
      </c>
      <c r="V56" s="55">
        <f t="shared" si="50"/>
        <v>0</v>
      </c>
      <c r="W56" s="54" t="e">
        <f t="shared" si="50"/>
        <v>#DIV/0!</v>
      </c>
      <c r="X56" s="55">
        <f t="shared" si="50"/>
        <v>0</v>
      </c>
      <c r="Y56" s="53" t="e">
        <f t="shared" si="50"/>
        <v>#DIV/0!</v>
      </c>
      <c r="Z56" s="52">
        <f t="shared" si="50"/>
        <v>0</v>
      </c>
      <c r="AA56" s="53" t="e">
        <f t="shared" si="50"/>
        <v>#DIV/0!</v>
      </c>
      <c r="AB56" s="52">
        <f t="shared" si="50"/>
        <v>0</v>
      </c>
      <c r="AC56" s="53" t="e">
        <f t="shared" si="50"/>
        <v>#DIV/0!</v>
      </c>
      <c r="AD56" s="56" t="e">
        <f t="shared" ref="AD56" si="51">AVERAGE(G56,I56,K56,M56,O56,Q56,S56,U56,W56,Y56,AA56,AC56)</f>
        <v>#DIV/0!</v>
      </c>
      <c r="AE56" s="57" t="e">
        <f>SUM(AE40:AE55)</f>
        <v>#VALUE!</v>
      </c>
      <c r="AF56" s="57" t="e">
        <f>SUM(AF40:AF55)</f>
        <v>#VALUE!</v>
      </c>
      <c r="AG56" s="58" t="e">
        <f>SUM(AG40:AG55)</f>
        <v>#VALUE!</v>
      </c>
    </row>
    <row r="57" spans="1:33" ht="30" customHeight="1" x14ac:dyDescent="0.15">
      <c r="A57" s="117" t="s">
        <v>43</v>
      </c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</row>
    <row r="58" spans="1:33" ht="18" customHeight="1" x14ac:dyDescent="0.15"/>
    <row r="59" spans="1:33" ht="18" customHeight="1" x14ac:dyDescent="0.15"/>
    <row r="60" spans="1:33" ht="18" customHeight="1" x14ac:dyDescent="0.15"/>
    <row r="61" spans="1:33" ht="18" customHeight="1" x14ac:dyDescent="0.15"/>
    <row r="62" spans="1:33" ht="18" customHeight="1" x14ac:dyDescent="0.15"/>
    <row r="63" spans="1:33" ht="18" customHeight="1" x14ac:dyDescent="0.15"/>
    <row r="64" spans="1:33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</sheetData>
  <sheetProtection algorithmName="SHA-512" hashValue="w1LRbpwUVbX+QAa1taX7F3zIz0c/9UPqfB6wK2eBlA2kzqO0ZQ36bHzhzctcn8JwO58jok7wFvuK3s+D74v46Q==" saltValue="P6+xUYTAFniVJ8y8wqqcFw==" spinCount="100000" sheet="1" selectLockedCells="1"/>
  <mergeCells count="64">
    <mergeCell ref="AG16:AG18"/>
    <mergeCell ref="Z16:AA16"/>
    <mergeCell ref="AB16:AC16"/>
    <mergeCell ref="A57:AG57"/>
    <mergeCell ref="B10:D10"/>
    <mergeCell ref="A38:A39"/>
    <mergeCell ref="B38:B39"/>
    <mergeCell ref="C38:C39"/>
    <mergeCell ref="D38:D39"/>
    <mergeCell ref="E38:E39"/>
    <mergeCell ref="A16:A18"/>
    <mergeCell ref="B16:B18"/>
    <mergeCell ref="C16:C18"/>
    <mergeCell ref="D16:D18"/>
    <mergeCell ref="E16:E18"/>
    <mergeCell ref="AD38:AD39"/>
    <mergeCell ref="A35:AG36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E38:AE39"/>
    <mergeCell ref="AF38:AF39"/>
    <mergeCell ref="AG38:AG39"/>
    <mergeCell ref="A1:D1"/>
    <mergeCell ref="A15:AG15"/>
    <mergeCell ref="T16:U16"/>
    <mergeCell ref="V16:W16"/>
    <mergeCell ref="X16:Y16"/>
    <mergeCell ref="F16:G16"/>
    <mergeCell ref="H16:I16"/>
    <mergeCell ref="J16:K16"/>
    <mergeCell ref="L16:M16"/>
    <mergeCell ref="N16:O16"/>
    <mergeCell ref="A14:AG14"/>
    <mergeCell ref="P16:Q16"/>
    <mergeCell ref="R16:S16"/>
    <mergeCell ref="AD16:AD18"/>
    <mergeCell ref="AE16:AE18"/>
    <mergeCell ref="AF16:AF18"/>
    <mergeCell ref="B11:D11"/>
    <mergeCell ref="B13:D13"/>
    <mergeCell ref="H2:AC13"/>
    <mergeCell ref="A56:E56"/>
    <mergeCell ref="H1:AC1"/>
    <mergeCell ref="A37:AG37"/>
    <mergeCell ref="B2:D2"/>
    <mergeCell ref="B3:D3"/>
    <mergeCell ref="B4:D4"/>
    <mergeCell ref="B5:D5"/>
    <mergeCell ref="B6:D6"/>
    <mergeCell ref="B7:D7"/>
    <mergeCell ref="B8:D8"/>
    <mergeCell ref="B9:D9"/>
    <mergeCell ref="B12:D12"/>
    <mergeCell ref="A34:E34"/>
  </mergeCells>
  <phoneticPr fontId="2" type="noConversion"/>
  <conditionalFormatting sqref="G17">
    <cfRule type="cellIs" dxfId="47" priority="29" operator="greaterThan">
      <formula>1</formula>
    </cfRule>
    <cfRule type="cellIs" dxfId="46" priority="30" operator="lessThan">
      <formula>1</formula>
    </cfRule>
  </conditionalFormatting>
  <conditionalFormatting sqref="G34">
    <cfRule type="expression" dxfId="45" priority="31">
      <formula>G34&lt;&gt;1</formula>
    </cfRule>
  </conditionalFormatting>
  <conditionalFormatting sqref="G56">
    <cfRule type="expression" dxfId="44" priority="43">
      <formula>G56&lt;&gt;1</formula>
    </cfRule>
  </conditionalFormatting>
  <conditionalFormatting sqref="I17">
    <cfRule type="cellIs" dxfId="43" priority="1" operator="greaterThan">
      <formula>1</formula>
    </cfRule>
    <cfRule type="cellIs" dxfId="42" priority="2" operator="lessThan">
      <formula>1</formula>
    </cfRule>
  </conditionalFormatting>
  <conditionalFormatting sqref="I34">
    <cfRule type="expression" dxfId="41" priority="32">
      <formula>I34&lt;&gt;1</formula>
    </cfRule>
  </conditionalFormatting>
  <conditionalFormatting sqref="I56">
    <cfRule type="expression" dxfId="40" priority="44">
      <formula>I56&lt;&gt;1</formula>
    </cfRule>
  </conditionalFormatting>
  <conditionalFormatting sqref="K17">
    <cfRule type="cellIs" dxfId="39" priority="24" operator="lessThan">
      <formula>1</formula>
    </cfRule>
    <cfRule type="cellIs" dxfId="38" priority="23" operator="greaterThan">
      <formula>1</formula>
    </cfRule>
  </conditionalFormatting>
  <conditionalFormatting sqref="K34">
    <cfRule type="expression" dxfId="37" priority="33">
      <formula>K34&lt;&gt;1</formula>
    </cfRule>
  </conditionalFormatting>
  <conditionalFormatting sqref="K56">
    <cfRule type="expression" dxfId="36" priority="45">
      <formula>K56&lt;&gt;1</formula>
    </cfRule>
  </conditionalFormatting>
  <conditionalFormatting sqref="M17">
    <cfRule type="cellIs" dxfId="35" priority="22" operator="lessThan">
      <formula>1</formula>
    </cfRule>
    <cfRule type="cellIs" dxfId="34" priority="21" operator="greaterThan">
      <formula>1</formula>
    </cfRule>
  </conditionalFormatting>
  <conditionalFormatting sqref="M34">
    <cfRule type="expression" dxfId="33" priority="34">
      <formula>M34&lt;&gt;1</formula>
    </cfRule>
  </conditionalFormatting>
  <conditionalFormatting sqref="M56">
    <cfRule type="expression" dxfId="32" priority="46">
      <formula>M56&lt;&gt;1</formula>
    </cfRule>
  </conditionalFormatting>
  <conditionalFormatting sqref="O17">
    <cfRule type="cellIs" dxfId="31" priority="19" operator="greaterThan">
      <formula>1</formula>
    </cfRule>
    <cfRule type="cellIs" dxfId="30" priority="20" operator="lessThan">
      <formula>1</formula>
    </cfRule>
  </conditionalFormatting>
  <conditionalFormatting sqref="O34">
    <cfRule type="expression" dxfId="29" priority="35">
      <formula>O34&lt;&gt;1</formula>
    </cfRule>
  </conditionalFormatting>
  <conditionalFormatting sqref="O56">
    <cfRule type="expression" dxfId="28" priority="47">
      <formula>O56&lt;&gt;1</formula>
    </cfRule>
  </conditionalFormatting>
  <conditionalFormatting sqref="Q17">
    <cfRule type="cellIs" dxfId="27" priority="18" operator="lessThan">
      <formula>1</formula>
    </cfRule>
    <cfRule type="cellIs" dxfId="26" priority="17" operator="greaterThan">
      <formula>1</formula>
    </cfRule>
  </conditionalFormatting>
  <conditionalFormatting sqref="Q34">
    <cfRule type="expression" dxfId="25" priority="36">
      <formula>Q34&lt;&gt;1</formula>
    </cfRule>
  </conditionalFormatting>
  <conditionalFormatting sqref="Q56">
    <cfRule type="expression" dxfId="24" priority="48">
      <formula>Q56&lt;&gt;1</formula>
    </cfRule>
  </conditionalFormatting>
  <conditionalFormatting sqref="S17">
    <cfRule type="cellIs" dxfId="23" priority="16" operator="lessThan">
      <formula>1</formula>
    </cfRule>
    <cfRule type="cellIs" dxfId="22" priority="15" operator="greaterThan">
      <formula>1</formula>
    </cfRule>
  </conditionalFormatting>
  <conditionalFormatting sqref="S34">
    <cfRule type="expression" dxfId="21" priority="37">
      <formula>S34&lt;&gt;1</formula>
    </cfRule>
  </conditionalFormatting>
  <conditionalFormatting sqref="S56">
    <cfRule type="expression" dxfId="20" priority="49">
      <formula>S56&lt;&gt;1</formula>
    </cfRule>
  </conditionalFormatting>
  <conditionalFormatting sqref="U17">
    <cfRule type="cellIs" dxfId="19" priority="14" operator="lessThan">
      <formula>1</formula>
    </cfRule>
    <cfRule type="cellIs" dxfId="18" priority="13" operator="greaterThan">
      <formula>1</formula>
    </cfRule>
  </conditionalFormatting>
  <conditionalFormatting sqref="U34">
    <cfRule type="expression" dxfId="17" priority="38">
      <formula>U34&lt;&gt;1</formula>
    </cfRule>
  </conditionalFormatting>
  <conditionalFormatting sqref="U56">
    <cfRule type="expression" dxfId="16" priority="50">
      <formula>U56&lt;&gt;1</formula>
    </cfRule>
  </conditionalFormatting>
  <conditionalFormatting sqref="W17">
    <cfRule type="cellIs" dxfId="15" priority="12" operator="lessThan">
      <formula>1</formula>
    </cfRule>
    <cfRule type="cellIs" dxfId="14" priority="11" operator="greaterThan">
      <formula>1</formula>
    </cfRule>
  </conditionalFormatting>
  <conditionalFormatting sqref="W34">
    <cfRule type="expression" dxfId="13" priority="39">
      <formula>W34&lt;&gt;1</formula>
    </cfRule>
  </conditionalFormatting>
  <conditionalFormatting sqref="W56">
    <cfRule type="expression" dxfId="12" priority="51">
      <formula>W56&lt;&gt;1</formula>
    </cfRule>
  </conditionalFormatting>
  <conditionalFormatting sqref="Y17">
    <cfRule type="cellIs" dxfId="11" priority="10" operator="lessThan">
      <formula>1</formula>
    </cfRule>
    <cfRule type="cellIs" dxfId="10" priority="9" operator="greaterThan">
      <formula>1</formula>
    </cfRule>
  </conditionalFormatting>
  <conditionalFormatting sqref="Y34">
    <cfRule type="expression" dxfId="9" priority="40">
      <formula>Y34&lt;&gt;1</formula>
    </cfRule>
  </conditionalFormatting>
  <conditionalFormatting sqref="Y56">
    <cfRule type="expression" dxfId="8" priority="52">
      <formula>Y56&lt;&gt;1</formula>
    </cfRule>
  </conditionalFormatting>
  <conditionalFormatting sqref="AA17">
    <cfRule type="cellIs" dxfId="7" priority="8" operator="lessThan">
      <formula>1</formula>
    </cfRule>
    <cfRule type="cellIs" dxfId="6" priority="7" operator="greaterThan">
      <formula>1</formula>
    </cfRule>
  </conditionalFormatting>
  <conditionalFormatting sqref="AA34">
    <cfRule type="expression" dxfId="5" priority="41">
      <formula>AA34&lt;&gt;1</formula>
    </cfRule>
  </conditionalFormatting>
  <conditionalFormatting sqref="AA56">
    <cfRule type="expression" dxfId="4" priority="53">
      <formula>AA56&lt;&gt;1</formula>
    </cfRule>
  </conditionalFormatting>
  <conditionalFormatting sqref="AC17">
    <cfRule type="cellIs" dxfId="3" priority="5" operator="greaterThan">
      <formula>1</formula>
    </cfRule>
    <cfRule type="cellIs" dxfId="2" priority="6" operator="lessThan">
      <formula>1</formula>
    </cfRule>
  </conditionalFormatting>
  <conditionalFormatting sqref="AC34">
    <cfRule type="expression" dxfId="1" priority="42">
      <formula>AC34&lt;&gt;1</formula>
    </cfRule>
  </conditionalFormatting>
  <conditionalFormatting sqref="AC56">
    <cfRule type="expression" dxfId="0" priority="54">
      <formula>AC56&lt;&gt;1</formula>
    </cfRule>
  </conditionalFormatting>
  <dataValidations count="1">
    <dataValidation type="list" allowBlank="1" showInputMessage="1" showErrorMessage="1" sqref="B11:D11" xr:uid="{02B2343A-3745-1140-A428-B9E3FA51C8E4}">
      <formula1>"Yes, No"</formula1>
    </dataValidation>
  </dataValidation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LOE Supplement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Katherine A.</dc:creator>
  <cp:lastModifiedBy>Katy Gruber</cp:lastModifiedBy>
  <dcterms:created xsi:type="dcterms:W3CDTF">2026-04-21T19:40:29Z</dcterms:created>
  <dcterms:modified xsi:type="dcterms:W3CDTF">2026-07-02T17:33:25Z</dcterms:modified>
</cp:coreProperties>
</file>