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katy/Downloads/"/>
    </mc:Choice>
  </mc:AlternateContent>
  <xr:revisionPtr revIDLastSave="0" documentId="13_ncr:1_{039F9C15-ACEC-7642-B21B-3A144E728523}" xr6:coauthVersionLast="47" xr6:coauthVersionMax="47" xr10:uidLastSave="{00000000-0000-0000-0000-000000000000}"/>
  <bookViews>
    <workbookView xWindow="0" yWindow="660" windowWidth="34560" windowHeight="19960" xr2:uid="{00000000-000D-0000-FFFF-FFFF00000000}"/>
  </bookViews>
  <sheets>
    <sheet name="LOE Supplement Plann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D53" i="1"/>
  <c r="C53" i="1"/>
  <c r="B53" i="1"/>
  <c r="A53" i="1"/>
  <c r="B7" i="1"/>
  <c r="B5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39" i="1"/>
  <c r="B12" i="1" l="1"/>
  <c r="B13" i="1" s="1"/>
  <c r="F18" i="1"/>
  <c r="F39" i="1" s="1"/>
  <c r="AB32" i="1"/>
  <c r="AB53" i="1" s="1"/>
  <c r="AB31" i="1"/>
  <c r="AB52" i="1" s="1"/>
  <c r="AB30" i="1"/>
  <c r="AB51" i="1" s="1"/>
  <c r="AB29" i="1"/>
  <c r="AB50" i="1" s="1"/>
  <c r="AB28" i="1"/>
  <c r="AB49" i="1" s="1"/>
  <c r="AB27" i="1"/>
  <c r="AB48" i="1" s="1"/>
  <c r="AB26" i="1"/>
  <c r="AB47" i="1" s="1"/>
  <c r="AB23" i="1"/>
  <c r="AB44" i="1" s="1"/>
  <c r="AB25" i="1"/>
  <c r="AB46" i="1" s="1"/>
  <c r="AB24" i="1"/>
  <c r="AB45" i="1" s="1"/>
  <c r="AB22" i="1"/>
  <c r="AB43" i="1" s="1"/>
  <c r="AB21" i="1"/>
  <c r="AB42" i="1" s="1"/>
  <c r="AB20" i="1"/>
  <c r="AB41" i="1" s="1"/>
  <c r="AB19" i="1"/>
  <c r="AB40" i="1" s="1"/>
  <c r="AB18" i="1"/>
  <c r="AB39" i="1" s="1"/>
  <c r="Z31" i="1"/>
  <c r="Z52" i="1" s="1"/>
  <c r="Z32" i="1"/>
  <c r="Z53" i="1" s="1"/>
  <c r="Z28" i="1"/>
  <c r="Z49" i="1" s="1"/>
  <c r="Z30" i="1"/>
  <c r="Z51" i="1" s="1"/>
  <c r="Z29" i="1"/>
  <c r="Z50" i="1" s="1"/>
  <c r="Z27" i="1"/>
  <c r="Z48" i="1" s="1"/>
  <c r="Z26" i="1"/>
  <c r="Z47" i="1" s="1"/>
  <c r="Z25" i="1"/>
  <c r="Z46" i="1" s="1"/>
  <c r="Z24" i="1"/>
  <c r="Z45" i="1" s="1"/>
  <c r="Z23" i="1"/>
  <c r="Z44" i="1" s="1"/>
  <c r="Z22" i="1"/>
  <c r="Z43" i="1" s="1"/>
  <c r="Z21" i="1"/>
  <c r="Z42" i="1" s="1"/>
  <c r="Z20" i="1"/>
  <c r="Z41" i="1" s="1"/>
  <c r="Z19" i="1"/>
  <c r="Z40" i="1" s="1"/>
  <c r="X31" i="1"/>
  <c r="X52" i="1" s="1"/>
  <c r="X30" i="1"/>
  <c r="X51" i="1" s="1"/>
  <c r="X28" i="1"/>
  <c r="X49" i="1" s="1"/>
  <c r="Z18" i="1"/>
  <c r="Z39" i="1" s="1"/>
  <c r="X26" i="1"/>
  <c r="X47" i="1" s="1"/>
  <c r="X25" i="1"/>
  <c r="X46" i="1" s="1"/>
  <c r="X22" i="1"/>
  <c r="X43" i="1" s="1"/>
  <c r="X32" i="1"/>
  <c r="X53" i="1" s="1"/>
  <c r="X29" i="1"/>
  <c r="X50" i="1" s="1"/>
  <c r="X21" i="1"/>
  <c r="X42" i="1" s="1"/>
  <c r="X20" i="1"/>
  <c r="X41" i="1" s="1"/>
  <c r="X27" i="1"/>
  <c r="X48" i="1" s="1"/>
  <c r="X24" i="1"/>
  <c r="X45" i="1" s="1"/>
  <c r="X23" i="1"/>
  <c r="X44" i="1" s="1"/>
  <c r="X18" i="1"/>
  <c r="X39" i="1" s="1"/>
  <c r="X19" i="1"/>
  <c r="X40" i="1" s="1"/>
  <c r="V31" i="1"/>
  <c r="V52" i="1" s="1"/>
  <c r="V26" i="1"/>
  <c r="V47" i="1" s="1"/>
  <c r="V30" i="1"/>
  <c r="V51" i="1" s="1"/>
  <c r="V25" i="1"/>
  <c r="V46" i="1" s="1"/>
  <c r="V24" i="1"/>
  <c r="V45" i="1" s="1"/>
  <c r="V23" i="1"/>
  <c r="V44" i="1" s="1"/>
  <c r="V32" i="1"/>
  <c r="V53" i="1" s="1"/>
  <c r="V29" i="1"/>
  <c r="V50" i="1" s="1"/>
  <c r="V28" i="1"/>
  <c r="V49" i="1" s="1"/>
  <c r="V27" i="1"/>
  <c r="V48" i="1" s="1"/>
  <c r="V22" i="1"/>
  <c r="V43" i="1" s="1"/>
  <c r="T32" i="1"/>
  <c r="T53" i="1" s="1"/>
  <c r="V21" i="1"/>
  <c r="V42" i="1" s="1"/>
  <c r="T31" i="1"/>
  <c r="T52" i="1" s="1"/>
  <c r="V20" i="1"/>
  <c r="V41" i="1" s="1"/>
  <c r="T30" i="1"/>
  <c r="T51" i="1" s="1"/>
  <c r="V19" i="1"/>
  <c r="V40" i="1" s="1"/>
  <c r="T29" i="1"/>
  <c r="T50" i="1" s="1"/>
  <c r="T28" i="1"/>
  <c r="T49" i="1" s="1"/>
  <c r="T27" i="1"/>
  <c r="T48" i="1" s="1"/>
  <c r="V18" i="1"/>
  <c r="V39" i="1" s="1"/>
  <c r="T26" i="1"/>
  <c r="T47" i="1" s="1"/>
  <c r="T23" i="1"/>
  <c r="T44" i="1" s="1"/>
  <c r="T22" i="1"/>
  <c r="T43" i="1" s="1"/>
  <c r="T21" i="1"/>
  <c r="T42" i="1" s="1"/>
  <c r="T20" i="1"/>
  <c r="T41" i="1" s="1"/>
  <c r="T25" i="1"/>
  <c r="T46" i="1" s="1"/>
  <c r="T24" i="1"/>
  <c r="T45" i="1" s="1"/>
  <c r="T19" i="1"/>
  <c r="T40" i="1" s="1"/>
  <c r="T18" i="1"/>
  <c r="T39" i="1" s="1"/>
  <c r="R18" i="1"/>
  <c r="R39" i="1" s="1"/>
  <c r="R32" i="1"/>
  <c r="R53" i="1" s="1"/>
  <c r="R30" i="1"/>
  <c r="R51" i="1" s="1"/>
  <c r="R29" i="1"/>
  <c r="R50" i="1" s="1"/>
  <c r="R31" i="1"/>
  <c r="R52" i="1" s="1"/>
  <c r="R27" i="1"/>
  <c r="R48" i="1" s="1"/>
  <c r="R25" i="1"/>
  <c r="R46" i="1" s="1"/>
  <c r="R28" i="1"/>
  <c r="R49" i="1" s="1"/>
  <c r="R26" i="1"/>
  <c r="R47" i="1" s="1"/>
  <c r="P32" i="1"/>
  <c r="P53" i="1" s="1"/>
  <c r="R24" i="1"/>
  <c r="R45" i="1" s="1"/>
  <c r="P31" i="1"/>
  <c r="P52" i="1" s="1"/>
  <c r="R23" i="1"/>
  <c r="R44" i="1" s="1"/>
  <c r="P30" i="1"/>
  <c r="P51" i="1" s="1"/>
  <c r="R22" i="1"/>
  <c r="R43" i="1" s="1"/>
  <c r="P29" i="1"/>
  <c r="P50" i="1" s="1"/>
  <c r="R21" i="1"/>
  <c r="R42" i="1" s="1"/>
  <c r="P28" i="1"/>
  <c r="P49" i="1" s="1"/>
  <c r="R20" i="1"/>
  <c r="R41" i="1" s="1"/>
  <c r="P27" i="1"/>
  <c r="P48" i="1" s="1"/>
  <c r="R19" i="1"/>
  <c r="R40" i="1" s="1"/>
  <c r="P26" i="1"/>
  <c r="P47" i="1" s="1"/>
  <c r="P25" i="1"/>
  <c r="P46" i="1" s="1"/>
  <c r="P24" i="1"/>
  <c r="P45" i="1" s="1"/>
  <c r="P23" i="1"/>
  <c r="P44" i="1" s="1"/>
  <c r="P22" i="1"/>
  <c r="P43" i="1" s="1"/>
  <c r="P21" i="1"/>
  <c r="P42" i="1" s="1"/>
  <c r="P20" i="1"/>
  <c r="P41" i="1" s="1"/>
  <c r="P19" i="1"/>
  <c r="P40" i="1" s="1"/>
  <c r="P18" i="1"/>
  <c r="P39" i="1" s="1"/>
  <c r="N31" i="1"/>
  <c r="N52" i="1" s="1"/>
  <c r="N30" i="1"/>
  <c r="N51" i="1" s="1"/>
  <c r="N29" i="1"/>
  <c r="N50" i="1" s="1"/>
  <c r="N28" i="1"/>
  <c r="N49" i="1" s="1"/>
  <c r="N27" i="1"/>
  <c r="N48" i="1" s="1"/>
  <c r="N26" i="1"/>
  <c r="N47" i="1" s="1"/>
  <c r="N25" i="1"/>
  <c r="N46" i="1" s="1"/>
  <c r="N24" i="1"/>
  <c r="N45" i="1" s="1"/>
  <c r="N32" i="1"/>
  <c r="N53" i="1" s="1"/>
  <c r="N23" i="1"/>
  <c r="N44" i="1" s="1"/>
  <c r="N22" i="1"/>
  <c r="N43" i="1" s="1"/>
  <c r="N21" i="1"/>
  <c r="N42" i="1" s="1"/>
  <c r="N20" i="1"/>
  <c r="N41" i="1" s="1"/>
  <c r="N19" i="1"/>
  <c r="N40" i="1" s="1"/>
  <c r="N18" i="1"/>
  <c r="N39" i="1" s="1"/>
  <c r="L32" i="1"/>
  <c r="L53" i="1" s="1"/>
  <c r="L31" i="1"/>
  <c r="L52" i="1" s="1"/>
  <c r="L29" i="1"/>
  <c r="L50" i="1" s="1"/>
  <c r="L18" i="1"/>
  <c r="L39" i="1" s="1"/>
  <c r="L30" i="1"/>
  <c r="L51" i="1" s="1"/>
  <c r="L28" i="1"/>
  <c r="L49" i="1" s="1"/>
  <c r="L27" i="1"/>
  <c r="L48" i="1" s="1"/>
  <c r="L26" i="1"/>
  <c r="L47" i="1" s="1"/>
  <c r="L24" i="1"/>
  <c r="L45" i="1" s="1"/>
  <c r="L23" i="1"/>
  <c r="L44" i="1" s="1"/>
  <c r="L22" i="1"/>
  <c r="L43" i="1" s="1"/>
  <c r="L21" i="1"/>
  <c r="L42" i="1" s="1"/>
  <c r="L25" i="1"/>
  <c r="L46" i="1" s="1"/>
  <c r="L20" i="1"/>
  <c r="L41" i="1" s="1"/>
  <c r="L19" i="1"/>
  <c r="L40" i="1" s="1"/>
  <c r="J32" i="1"/>
  <c r="J53" i="1" s="1"/>
  <c r="J29" i="1"/>
  <c r="J50" i="1" s="1"/>
  <c r="J30" i="1"/>
  <c r="J51" i="1" s="1"/>
  <c r="J28" i="1"/>
  <c r="J49" i="1" s="1"/>
  <c r="J31" i="1"/>
  <c r="J52" i="1" s="1"/>
  <c r="J27" i="1"/>
  <c r="J48" i="1" s="1"/>
  <c r="J26" i="1"/>
  <c r="J47" i="1" s="1"/>
  <c r="J25" i="1"/>
  <c r="J46" i="1" s="1"/>
  <c r="J24" i="1"/>
  <c r="J45" i="1" s="1"/>
  <c r="J23" i="1"/>
  <c r="J44" i="1" s="1"/>
  <c r="J22" i="1"/>
  <c r="J43" i="1" s="1"/>
  <c r="J21" i="1"/>
  <c r="J42" i="1" s="1"/>
  <c r="J20" i="1"/>
  <c r="J41" i="1" s="1"/>
  <c r="J19" i="1"/>
  <c r="J40" i="1" s="1"/>
  <c r="J18" i="1"/>
  <c r="J39" i="1" s="1"/>
  <c r="H32" i="1"/>
  <c r="H53" i="1" s="1"/>
  <c r="H31" i="1"/>
  <c r="H52" i="1" s="1"/>
  <c r="H30" i="1"/>
  <c r="H51" i="1" s="1"/>
  <c r="H29" i="1"/>
  <c r="H50" i="1" s="1"/>
  <c r="H27" i="1"/>
  <c r="H48" i="1" s="1"/>
  <c r="H28" i="1"/>
  <c r="H49" i="1" s="1"/>
  <c r="H26" i="1"/>
  <c r="H47" i="1" s="1"/>
  <c r="H25" i="1"/>
  <c r="H46" i="1" s="1"/>
  <c r="H24" i="1"/>
  <c r="H45" i="1" s="1"/>
  <c r="H23" i="1"/>
  <c r="H44" i="1" s="1"/>
  <c r="H22" i="1"/>
  <c r="H43" i="1" s="1"/>
  <c r="H21" i="1"/>
  <c r="H42" i="1" s="1"/>
  <c r="H20" i="1"/>
  <c r="H41" i="1" s="1"/>
  <c r="H19" i="1"/>
  <c r="H40" i="1" s="1"/>
  <c r="H18" i="1"/>
  <c r="H39" i="1" s="1"/>
  <c r="F32" i="1"/>
  <c r="F31" i="1"/>
  <c r="F26" i="1"/>
  <c r="F30" i="1"/>
  <c r="F29" i="1"/>
  <c r="F28" i="1"/>
  <c r="F27" i="1"/>
  <c r="F24" i="1"/>
  <c r="F25" i="1"/>
  <c r="F23" i="1"/>
  <c r="F22" i="1"/>
  <c r="F43" i="1" s="1"/>
  <c r="F21" i="1"/>
  <c r="F42" i="1" s="1"/>
  <c r="F20" i="1"/>
  <c r="F41" i="1" s="1"/>
  <c r="F19" i="1"/>
  <c r="F40" i="1" s="1"/>
  <c r="I53" i="1" l="1"/>
  <c r="K53" i="1"/>
  <c r="W53" i="1"/>
  <c r="M53" i="1"/>
  <c r="Y53" i="1"/>
  <c r="S53" i="1"/>
  <c r="AA53" i="1"/>
  <c r="O53" i="1"/>
  <c r="Q53" i="1"/>
  <c r="U53" i="1"/>
  <c r="AC53" i="1"/>
  <c r="F33" i="1"/>
  <c r="G33" i="1" s="1"/>
  <c r="F53" i="1"/>
  <c r="G39" i="1"/>
  <c r="U39" i="1"/>
  <c r="Q47" i="1"/>
  <c r="S49" i="1"/>
  <c r="U43" i="1"/>
  <c r="W48" i="1"/>
  <c r="AA42" i="1"/>
  <c r="AC41" i="1"/>
  <c r="F52" i="1"/>
  <c r="G52" i="1" s="1"/>
  <c r="AE31" i="1"/>
  <c r="AE32" i="1"/>
  <c r="F46" i="1"/>
  <c r="G46" i="1" s="1"/>
  <c r="AE25" i="1"/>
  <c r="F45" i="1"/>
  <c r="G45" i="1" s="1"/>
  <c r="AE24" i="1"/>
  <c r="F48" i="1"/>
  <c r="G48" i="1" s="1"/>
  <c r="AE27" i="1"/>
  <c r="F49" i="1"/>
  <c r="AE49" i="1" s="1"/>
  <c r="AE28" i="1"/>
  <c r="F47" i="1"/>
  <c r="AE47" i="1" s="1"/>
  <c r="AE26" i="1"/>
  <c r="F50" i="1"/>
  <c r="AE50" i="1" s="1"/>
  <c r="AE29" i="1"/>
  <c r="F44" i="1"/>
  <c r="AE44" i="1" s="1"/>
  <c r="AE23" i="1"/>
  <c r="F51" i="1"/>
  <c r="AE51" i="1" s="1"/>
  <c r="AE30" i="1"/>
  <c r="Y45" i="1"/>
  <c r="AA41" i="1"/>
  <c r="AC40" i="1"/>
  <c r="AC46" i="1"/>
  <c r="AC44" i="1"/>
  <c r="AC47" i="1"/>
  <c r="AC48" i="1"/>
  <c r="AC45" i="1"/>
  <c r="AC49" i="1"/>
  <c r="AC51" i="1"/>
  <c r="AC42" i="1"/>
  <c r="AC52" i="1"/>
  <c r="AC43" i="1"/>
  <c r="AC50" i="1"/>
  <c r="AA39" i="1"/>
  <c r="AA51" i="1"/>
  <c r="AA47" i="1"/>
  <c r="AA48" i="1"/>
  <c r="AA50" i="1"/>
  <c r="AC39" i="1"/>
  <c r="AA43" i="1"/>
  <c r="AA44" i="1"/>
  <c r="AA45" i="1"/>
  <c r="AA46" i="1"/>
  <c r="AA49" i="1"/>
  <c r="AA52" i="1"/>
  <c r="AA40" i="1"/>
  <c r="Y48" i="1"/>
  <c r="Y42" i="1"/>
  <c r="Y50" i="1"/>
  <c r="Y43" i="1"/>
  <c r="Y47" i="1"/>
  <c r="Y49" i="1"/>
  <c r="Y40" i="1"/>
  <c r="Y51" i="1"/>
  <c r="Y46" i="1"/>
  <c r="Y52" i="1"/>
  <c r="Y41" i="1"/>
  <c r="Y44" i="1"/>
  <c r="S47" i="1"/>
  <c r="U42" i="1"/>
  <c r="W43" i="1"/>
  <c r="Y39" i="1"/>
  <c r="W40" i="1"/>
  <c r="W47" i="1"/>
  <c r="W49" i="1"/>
  <c r="W50" i="1"/>
  <c r="W44" i="1"/>
  <c r="W45" i="1"/>
  <c r="W46" i="1"/>
  <c r="W51" i="1"/>
  <c r="W41" i="1"/>
  <c r="W52" i="1"/>
  <c r="W42" i="1"/>
  <c r="W39" i="1"/>
  <c r="U44" i="1"/>
  <c r="U47" i="1"/>
  <c r="U48" i="1"/>
  <c r="U49" i="1"/>
  <c r="U50" i="1"/>
  <c r="U51" i="1"/>
  <c r="U40" i="1"/>
  <c r="U46" i="1"/>
  <c r="U45" i="1"/>
  <c r="U52" i="1"/>
  <c r="U41" i="1"/>
  <c r="S46" i="1"/>
  <c r="S48" i="1"/>
  <c r="S52" i="1"/>
  <c r="S50" i="1"/>
  <c r="S42" i="1"/>
  <c r="S51" i="1"/>
  <c r="S44" i="1"/>
  <c r="S40" i="1"/>
  <c r="S41" i="1"/>
  <c r="S45" i="1"/>
  <c r="S43" i="1"/>
  <c r="S39" i="1"/>
  <c r="O46" i="1"/>
  <c r="Q46" i="1"/>
  <c r="Q48" i="1"/>
  <c r="Q49" i="1"/>
  <c r="Q50" i="1"/>
  <c r="Q40" i="1"/>
  <c r="Q51" i="1"/>
  <c r="Q41" i="1"/>
  <c r="Q42" i="1"/>
  <c r="Q43" i="1"/>
  <c r="Q52" i="1"/>
  <c r="Q44" i="1"/>
  <c r="Q45" i="1"/>
  <c r="M51" i="1"/>
  <c r="O47" i="1"/>
  <c r="Q39" i="1"/>
  <c r="O49" i="1"/>
  <c r="O51" i="1"/>
  <c r="O40" i="1"/>
  <c r="O52" i="1"/>
  <c r="O48" i="1"/>
  <c r="O50" i="1"/>
  <c r="O41" i="1"/>
  <c r="O42" i="1"/>
  <c r="O43" i="1"/>
  <c r="O44" i="1"/>
  <c r="O45" i="1"/>
  <c r="O39" i="1"/>
  <c r="M39" i="1"/>
  <c r="M49" i="1"/>
  <c r="M42" i="1"/>
  <c r="M43" i="1"/>
  <c r="M44" i="1"/>
  <c r="M52" i="1"/>
  <c r="M50" i="1"/>
  <c r="M40" i="1"/>
  <c r="M41" i="1"/>
  <c r="M46" i="1"/>
  <c r="M45" i="1"/>
  <c r="M47" i="1"/>
  <c r="M48" i="1"/>
  <c r="K43" i="1"/>
  <c r="K50" i="1"/>
  <c r="K40" i="1"/>
  <c r="K52" i="1"/>
  <c r="I51" i="1"/>
  <c r="K49" i="1"/>
  <c r="K51" i="1"/>
  <c r="K46" i="1"/>
  <c r="K41" i="1"/>
  <c r="K42" i="1"/>
  <c r="K45" i="1"/>
  <c r="K47" i="1"/>
  <c r="K44" i="1"/>
  <c r="K48" i="1"/>
  <c r="K39" i="1"/>
  <c r="I43" i="1"/>
  <c r="I50" i="1"/>
  <c r="I44" i="1"/>
  <c r="I45" i="1"/>
  <c r="I41" i="1"/>
  <c r="I52" i="1"/>
  <c r="I40" i="1"/>
  <c r="I42" i="1"/>
  <c r="I46" i="1"/>
  <c r="I47" i="1"/>
  <c r="I49" i="1"/>
  <c r="I48" i="1"/>
  <c r="I39" i="1"/>
  <c r="G41" i="1"/>
  <c r="G40" i="1"/>
  <c r="G42" i="1"/>
  <c r="G43" i="1"/>
  <c r="P33" i="1"/>
  <c r="Q33" i="1" s="1"/>
  <c r="P54" i="1" s="1"/>
  <c r="P55" i="1" s="1"/>
  <c r="J33" i="1"/>
  <c r="K33" i="1" s="1"/>
  <c r="J54" i="1" s="1"/>
  <c r="K54" i="1" s="1"/>
  <c r="L33" i="1"/>
  <c r="M33" i="1" s="1"/>
  <c r="L54" i="1" s="1"/>
  <c r="L55" i="1" s="1"/>
  <c r="X33" i="1"/>
  <c r="Y33" i="1" s="1"/>
  <c r="X54" i="1" s="1"/>
  <c r="Y54" i="1" s="1"/>
  <c r="AE22" i="1"/>
  <c r="V33" i="1"/>
  <c r="W33" i="1" s="1"/>
  <c r="V54" i="1" s="1"/>
  <c r="V55" i="1" s="1"/>
  <c r="AE21" i="1"/>
  <c r="AF21" i="1" s="1"/>
  <c r="AG21" i="1" s="1"/>
  <c r="AE41" i="1"/>
  <c r="AF41" i="1" s="1"/>
  <c r="AG41" i="1" s="1"/>
  <c r="AE40" i="1"/>
  <c r="AF40" i="1" s="1"/>
  <c r="AG40" i="1" s="1"/>
  <c r="AE20" i="1"/>
  <c r="AF20" i="1" s="1"/>
  <c r="AG20" i="1" s="1"/>
  <c r="AB33" i="1"/>
  <c r="AC33" i="1" s="1"/>
  <c r="AB54" i="1" s="1"/>
  <c r="AC54" i="1" s="1"/>
  <c r="AE43" i="1"/>
  <c r="AE42" i="1"/>
  <c r="AF42" i="1" s="1"/>
  <c r="AG42" i="1" s="1"/>
  <c r="R33" i="1"/>
  <c r="S33" i="1" s="1"/>
  <c r="R54" i="1" s="1"/>
  <c r="S54" i="1" s="1"/>
  <c r="AE39" i="1"/>
  <c r="H33" i="1"/>
  <c r="I33" i="1" s="1"/>
  <c r="H54" i="1" s="1"/>
  <c r="H55" i="1" s="1"/>
  <c r="Z33" i="1"/>
  <c r="AA33" i="1" s="1"/>
  <c r="Z54" i="1" s="1"/>
  <c r="AA54" i="1" s="1"/>
  <c r="AE18" i="1"/>
  <c r="N33" i="1"/>
  <c r="O33" i="1" s="1"/>
  <c r="N54" i="1" s="1"/>
  <c r="O54" i="1" s="1"/>
  <c r="T33" i="1"/>
  <c r="U33" i="1" s="1"/>
  <c r="T54" i="1" s="1"/>
  <c r="U54" i="1" s="1"/>
  <c r="AE19" i="1"/>
  <c r="AF18" i="1" l="1"/>
  <c r="AG18" i="1" s="1"/>
  <c r="M54" i="1"/>
  <c r="M55" i="1" s="1"/>
  <c r="X55" i="1"/>
  <c r="I54" i="1"/>
  <c r="I55" i="1" s="1"/>
  <c r="J55" i="1"/>
  <c r="Z55" i="1"/>
  <c r="F54" i="1"/>
  <c r="F55" i="1" s="1"/>
  <c r="AD33" i="1"/>
  <c r="W54" i="1"/>
  <c r="W55" i="1" s="1"/>
  <c r="N55" i="1"/>
  <c r="AB55" i="1"/>
  <c r="Q54" i="1"/>
  <c r="Q55" i="1" s="1"/>
  <c r="R55" i="1"/>
  <c r="T55" i="1"/>
  <c r="G53" i="1"/>
  <c r="AD53" i="1" s="1"/>
  <c r="AE53" i="1"/>
  <c r="AD46" i="1"/>
  <c r="AD42" i="1"/>
  <c r="U55" i="1"/>
  <c r="O55" i="1"/>
  <c r="AD41" i="1"/>
  <c r="AD48" i="1"/>
  <c r="K55" i="1"/>
  <c r="Y55" i="1"/>
  <c r="AD40" i="1"/>
  <c r="AA55" i="1"/>
  <c r="AD52" i="1"/>
  <c r="AC55" i="1"/>
  <c r="AD45" i="1"/>
  <c r="S55" i="1"/>
  <c r="AD39" i="1"/>
  <c r="AD43" i="1"/>
  <c r="G44" i="1"/>
  <c r="AD44" i="1" s="1"/>
  <c r="AF27" i="1"/>
  <c r="AG27" i="1" s="1"/>
  <c r="AF24" i="1"/>
  <c r="AG24" i="1" s="1"/>
  <c r="AF25" i="1"/>
  <c r="AG25" i="1" s="1"/>
  <c r="AF32" i="1"/>
  <c r="AG32" i="1" s="1"/>
  <c r="AF26" i="1"/>
  <c r="AG26" i="1" s="1"/>
  <c r="AF28" i="1"/>
  <c r="AG28" i="1" s="1"/>
  <c r="AF30" i="1"/>
  <c r="AG30" i="1" s="1"/>
  <c r="AF23" i="1"/>
  <c r="AG23" i="1" s="1"/>
  <c r="AF29" i="1"/>
  <c r="AG29" i="1" s="1"/>
  <c r="AF31" i="1"/>
  <c r="AG31" i="1" s="1"/>
  <c r="G49" i="1"/>
  <c r="AD49" i="1" s="1"/>
  <c r="AF22" i="1"/>
  <c r="AG22" i="1" s="1"/>
  <c r="G50" i="1"/>
  <c r="AD50" i="1" s="1"/>
  <c r="AE52" i="1"/>
  <c r="AF52" i="1" s="1"/>
  <c r="G47" i="1"/>
  <c r="AD47" i="1" s="1"/>
  <c r="AE48" i="1"/>
  <c r="AF48" i="1" s="1"/>
  <c r="AE45" i="1"/>
  <c r="AF45" i="1" s="1"/>
  <c r="G51" i="1"/>
  <c r="AD51" i="1" s="1"/>
  <c r="AE46" i="1"/>
  <c r="AF46" i="1" s="1"/>
  <c r="AF44" i="1"/>
  <c r="AG44" i="1" s="1"/>
  <c r="AF49" i="1"/>
  <c r="AG49" i="1" s="1"/>
  <c r="AF51" i="1"/>
  <c r="AG51" i="1" s="1"/>
  <c r="AF47" i="1"/>
  <c r="AG47" i="1" s="1"/>
  <c r="AF50" i="1"/>
  <c r="AG50" i="1" s="1"/>
  <c r="AF43" i="1"/>
  <c r="AG43" i="1" s="1"/>
  <c r="AF19" i="1"/>
  <c r="AG19" i="1" s="1"/>
  <c r="AE33" i="1"/>
  <c r="AF39" i="1"/>
  <c r="AG39" i="1" s="1"/>
  <c r="AG33" i="1" l="1"/>
  <c r="G54" i="1"/>
  <c r="AD54" i="1" s="1"/>
  <c r="AE54" i="1"/>
  <c r="AF54" i="1" s="1"/>
  <c r="AG54" i="1" s="1"/>
  <c r="AF53" i="1"/>
  <c r="AG53" i="1" s="1"/>
  <c r="AG52" i="1"/>
  <c r="AG45" i="1"/>
  <c r="AG46" i="1"/>
  <c r="AG48" i="1"/>
  <c r="AF33" i="1"/>
  <c r="G55" i="1" l="1"/>
  <c r="AD55" i="1" s="1"/>
  <c r="AE55" i="1"/>
  <c r="AF55" i="1"/>
  <c r="AG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Katy Gruber</author>
  </authors>
  <commentList>
    <comment ref="B8" authorId="0" shapeId="0" xr:uid="{B60F4359-C6E3-1B4A-9B31-67105D80424D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Fringe as percent; example 0.305 = 30.5%.</t>
        </r>
      </text>
    </comment>
    <comment ref="B10" authorId="0" shapeId="0" xr:uid="{D455F1CC-5039-D44E-9289-AE4B67CA2044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FTE (enter as a percentage, e.g., 50% not 0.50)</t>
        </r>
      </text>
    </comment>
    <comment ref="B11" authorId="0" shapeId="0" xr:uid="{27047357-155C-0346-BC31-2DAB3AC2D5BF}">
      <text>
        <r>
          <rPr>
            <b/>
            <sz val="10"/>
            <color rgb="FF000000"/>
            <rFont val="Tahoma"/>
            <family val="2"/>
          </rPr>
          <t>Katy Gruber: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FTE reduces base salary proportionally. Supplement remains fixed unless “Scale with FTE” is set to Yes.</t>
        </r>
      </text>
    </comment>
  </commentList>
</comments>
</file>

<file path=xl/sharedStrings.xml><?xml version="1.0" encoding="utf-8"?>
<sst xmlns="http://schemas.openxmlformats.org/spreadsheetml/2006/main" count="111" uniqueCount="43">
  <si>
    <t>PI Name</t>
  </si>
  <si>
    <t>Title</t>
  </si>
  <si>
    <t>Annual Base Salary</t>
  </si>
  <si>
    <t>Monthly Base Salary</t>
  </si>
  <si>
    <t>Annual Supplement</t>
  </si>
  <si>
    <t>Monthly Supplement</t>
  </si>
  <si>
    <t>Fringe Rate</t>
  </si>
  <si>
    <t>Start Month</t>
  </si>
  <si>
    <t>Account Source</t>
  </si>
  <si>
    <t>Account Name</t>
  </si>
  <si>
    <t>Account #</t>
  </si>
  <si>
    <t>Average %</t>
  </si>
  <si>
    <t>Annual Salary</t>
  </si>
  <si>
    <t>Annual Fringe</t>
  </si>
  <si>
    <t>Annual Total</t>
  </si>
  <si>
    <t>Total</t>
  </si>
  <si>
    <t>PI &amp; Compensation Inputs</t>
  </si>
  <si>
    <t>Monthly Salary w/Supplement</t>
  </si>
  <si>
    <t>Baseline LOE – Without Supplement</t>
  </si>
  <si>
    <t>Notes</t>
  </si>
  <si>
    <t>Dollar</t>
  </si>
  <si>
    <t>Percent</t>
  </si>
  <si>
    <t>Designed by Katherine A. Gruber / Level of Effort with Supplement v1.1</t>
  </si>
  <si>
    <t>Full Time Equivalent (FTE)</t>
  </si>
  <si>
    <t>Supplement Scales with FTE?</t>
  </si>
  <si>
    <t>Total Monthly Cost (Salary + Supplement + Fringe)</t>
  </si>
  <si>
    <t>Supplement</t>
  </si>
  <si>
    <t>Adjusted LOE - With Supplement</t>
  </si>
  <si>
    <t>Start Date</t>
  </si>
  <si>
    <t>End Date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</si>
  <si>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</si>
  <si>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</si>
  <si>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</si>
  <si>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</si>
  <si>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</si>
  <si>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</si>
  <si>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</si>
  <si>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</si>
  <si>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</si>
  <si>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</si>
  <si>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</si>
  <si>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</si>
  <si>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Input Guidance
• Enter PI compensation inputs before entering LOE distributions.
• Monthly FTE cells are editable and default to 100%.
• Update only months where appointment/FTE changes.
• Yellow indicates FTE below 100%; red indicates FTE above 100%.
• Monthly calculations use each month’s FTE directly.
• Monthly LOE totals should equal 100%.
Summary Guidance
• Average values are calculated automatically from the monthly FTE row.
• “Without Supplement” excludes supplement compensation from calculations.
• “With Supplement” includes supplement compensation and scaling logic.
• Dollar values calculate automatically from salary, FTE, supplement logic, and LOE percentages.
• Changes to monthly FTE values automatically update monthly compensation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</si>
</sst>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[Red]\(\$#,##0.00\);\-"/>
    <numFmt numFmtId="165" formatCode="0.0%"/>
    <numFmt numFmtId="166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name val="Cambria"/>
      <family val="1"/>
      <scheme val="major"/>
    </font>
    <font>
      <b/>
      <sz val="16"/>
      <color rgb="FFFFFFFF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name val="Cambria"/>
      <family val="1"/>
      <scheme val="major"/>
    </font>
    <font>
      <b/>
      <i/>
      <sz val="11"/>
      <color theme="1" tint="0.34998626667073579"/>
      <name val="Cambria"/>
      <family val="1"/>
      <scheme val="maj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E4E78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1F4E78"/>
      </bottom>
      <diagonal/>
    </border>
    <border>
      <left/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/>
      <top/>
      <bottom style="thin">
        <color rgb="FFB7B7B7"/>
      </bottom>
      <diagonal/>
    </border>
    <border>
      <left/>
      <right style="thin">
        <color indexed="64"/>
      </right>
      <top/>
      <bottom style="thin">
        <color rgb="FFB7B7B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B7B7B7"/>
      </top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7B7B7"/>
      </top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medium">
        <color indexed="64"/>
      </right>
      <top style="thin">
        <color rgb="FFB7B7B7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rgb="FFB7B7B7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rgb="FFB7B7B7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1" tint="0.34998626667073579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0" tint="-0.499984740745262"/>
      </top>
      <bottom style="thin">
        <color rgb="FFB7B7B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indexed="64"/>
      </left>
      <right/>
      <top style="thin">
        <color rgb="FFB7B7B7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 applyProtection="1">
      <protection locked="0"/>
    </xf>
    <xf numFmtId="14" fontId="5" fillId="6" borderId="29" xfId="0" applyNumberFormat="1" applyFont="1" applyFill="1" applyBorder="1" applyProtection="1">
      <protection locked="0"/>
    </xf>
    <xf numFmtId="49" fontId="5" fillId="6" borderId="29" xfId="0" applyNumberFormat="1" applyFont="1" applyFill="1" applyBorder="1" applyProtection="1">
      <protection locked="0"/>
    </xf>
    <xf numFmtId="49" fontId="5" fillId="6" borderId="31" xfId="0" applyNumberFormat="1" applyFont="1" applyFill="1" applyBorder="1" applyProtection="1">
      <protection locked="0"/>
    </xf>
    <xf numFmtId="10" fontId="5" fillId="0" borderId="14" xfId="0" applyNumberFormat="1" applyFont="1" applyBorder="1" applyProtection="1">
      <protection locked="0"/>
    </xf>
    <xf numFmtId="0" fontId="8" fillId="0" borderId="0" xfId="0" applyFont="1" applyProtection="1">
      <protection locked="0"/>
    </xf>
    <xf numFmtId="49" fontId="5" fillId="6" borderId="26" xfId="0" applyNumberFormat="1" applyFont="1" applyFill="1" applyBorder="1" applyProtection="1">
      <protection locked="0"/>
    </xf>
    <xf numFmtId="14" fontId="5" fillId="6" borderId="26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49" fontId="5" fillId="6" borderId="27" xfId="0" applyNumberFormat="1" applyFont="1" applyFill="1" applyBorder="1" applyProtection="1">
      <protection locked="0"/>
    </xf>
    <xf numFmtId="14" fontId="5" fillId="6" borderId="27" xfId="0" applyNumberFormat="1" applyFont="1" applyFill="1" applyBorder="1" applyProtection="1">
      <protection locked="0"/>
    </xf>
    <xf numFmtId="49" fontId="5" fillId="6" borderId="4" xfId="0" applyNumberFormat="1" applyFont="1" applyFill="1" applyBorder="1" applyProtection="1">
      <protection locked="0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44" fontId="4" fillId="5" borderId="15" xfId="1" applyFont="1" applyFill="1" applyBorder="1" applyProtection="1"/>
    <xf numFmtId="10" fontId="4" fillId="5" borderId="16" xfId="0" applyNumberFormat="1" applyFont="1" applyFill="1" applyBorder="1"/>
    <xf numFmtId="10" fontId="4" fillId="5" borderId="18" xfId="0" applyNumberFormat="1" applyFont="1" applyFill="1" applyBorder="1"/>
    <xf numFmtId="44" fontId="4" fillId="5" borderId="17" xfId="1" applyFont="1" applyFill="1" applyBorder="1" applyProtection="1"/>
    <xf numFmtId="10" fontId="4" fillId="5" borderId="22" xfId="0" applyNumberFormat="1" applyFont="1" applyFill="1" applyBorder="1"/>
    <xf numFmtId="44" fontId="4" fillId="5" borderId="22" xfId="1" applyFont="1" applyFill="1" applyBorder="1" applyProtection="1"/>
    <xf numFmtId="44" fontId="5" fillId="7" borderId="13" xfId="1" applyFont="1" applyFill="1" applyBorder="1" applyProtection="1"/>
    <xf numFmtId="10" fontId="5" fillId="7" borderId="21" xfId="0" applyNumberFormat="1" applyFont="1" applyFill="1" applyBorder="1"/>
    <xf numFmtId="44" fontId="5" fillId="7" borderId="21" xfId="1" applyFont="1" applyFill="1" applyBorder="1" applyProtection="1"/>
    <xf numFmtId="49" fontId="5" fillId="0" borderId="27" xfId="0" applyNumberFormat="1" applyFont="1" applyBorder="1" applyProtection="1">
      <protection locked="0"/>
    </xf>
    <xf numFmtId="14" fontId="5" fillId="0" borderId="27" xfId="0" applyNumberFormat="1" applyFont="1" applyBorder="1" applyProtection="1">
      <protection locked="0"/>
    </xf>
    <xf numFmtId="49" fontId="5" fillId="0" borderId="4" xfId="0" applyNumberFormat="1" applyFont="1" applyBorder="1" applyProtection="1">
      <protection locked="0"/>
    </xf>
    <xf numFmtId="49" fontId="5" fillId="7" borderId="29" xfId="0" applyNumberFormat="1" applyFont="1" applyFill="1" applyBorder="1"/>
    <xf numFmtId="14" fontId="5" fillId="7" borderId="29" xfId="0" applyNumberFormat="1" applyFont="1" applyFill="1" applyBorder="1"/>
    <xf numFmtId="49" fontId="5" fillId="7" borderId="31" xfId="0" applyNumberFormat="1" applyFont="1" applyFill="1" applyBorder="1"/>
    <xf numFmtId="10" fontId="5" fillId="7" borderId="14" xfId="0" applyNumberFormat="1" applyFont="1" applyFill="1" applyBorder="1"/>
    <xf numFmtId="49" fontId="5" fillId="7" borderId="26" xfId="0" applyNumberFormat="1" applyFont="1" applyFill="1" applyBorder="1"/>
    <xf numFmtId="14" fontId="5" fillId="7" borderId="26" xfId="0" applyNumberFormat="1" applyFont="1" applyFill="1" applyBorder="1"/>
    <xf numFmtId="49" fontId="5" fillId="7" borderId="1" xfId="0" applyNumberFormat="1" applyFont="1" applyFill="1" applyBorder="1"/>
    <xf numFmtId="0" fontId="3" fillId="8" borderId="33" xfId="0" applyFont="1" applyFill="1" applyBorder="1"/>
    <xf numFmtId="0" fontId="3" fillId="8" borderId="34" xfId="0" applyFont="1" applyFill="1" applyBorder="1"/>
    <xf numFmtId="0" fontId="4" fillId="3" borderId="35" xfId="0" applyFont="1" applyFill="1" applyBorder="1"/>
    <xf numFmtId="0" fontId="3" fillId="8" borderId="0" xfId="0" applyFont="1" applyFill="1"/>
    <xf numFmtId="0" fontId="3" fillId="8" borderId="36" xfId="0" applyFont="1" applyFill="1" applyBorder="1"/>
    <xf numFmtId="0" fontId="4" fillId="3" borderId="37" xfId="0" applyFont="1" applyFill="1" applyBorder="1"/>
    <xf numFmtId="0" fontId="4" fillId="3" borderId="38" xfId="0" applyFont="1" applyFill="1" applyBorder="1"/>
    <xf numFmtId="0" fontId="4" fillId="3" borderId="39" xfId="0" applyFont="1" applyFill="1" applyBorder="1"/>
    <xf numFmtId="0" fontId="4" fillId="3" borderId="40" xfId="0" applyFont="1" applyFill="1" applyBorder="1"/>
    <xf numFmtId="0" fontId="4" fillId="3" borderId="41" xfId="0" applyFont="1" applyFill="1" applyBorder="1"/>
    <xf numFmtId="49" fontId="5" fillId="6" borderId="47" xfId="0" applyNumberFormat="1" applyFont="1" applyFill="1" applyBorder="1" applyProtection="1">
      <protection locked="0"/>
    </xf>
    <xf numFmtId="44" fontId="5" fillId="7" borderId="36" xfId="1" applyFont="1" applyFill="1" applyBorder="1" applyProtection="1"/>
    <xf numFmtId="49" fontId="5" fillId="6" borderId="48" xfId="0" applyNumberFormat="1" applyFont="1" applyFill="1" applyBorder="1" applyProtection="1">
      <protection locked="0"/>
    </xf>
    <xf numFmtId="49" fontId="5" fillId="6" borderId="45" xfId="0" applyNumberFormat="1" applyFont="1" applyFill="1" applyBorder="1" applyProtection="1">
      <protection locked="0"/>
    </xf>
    <xf numFmtId="44" fontId="4" fillId="5" borderId="49" xfId="1" applyFont="1" applyFill="1" applyBorder="1" applyProtection="1"/>
    <xf numFmtId="49" fontId="5" fillId="7" borderId="52" xfId="0" applyNumberFormat="1" applyFont="1" applyFill="1" applyBorder="1"/>
    <xf numFmtId="49" fontId="5" fillId="7" borderId="48" xfId="0" applyNumberFormat="1" applyFont="1" applyFill="1" applyBorder="1"/>
    <xf numFmtId="49" fontId="5" fillId="0" borderId="45" xfId="0" applyNumberFormat="1" applyFont="1" applyBorder="1" applyProtection="1">
      <protection locked="0"/>
    </xf>
    <xf numFmtId="44" fontId="4" fillId="5" borderId="55" xfId="1" applyFont="1" applyFill="1" applyBorder="1" applyProtection="1"/>
    <xf numFmtId="10" fontId="4" fillId="5" borderId="56" xfId="0" applyNumberFormat="1" applyFont="1" applyFill="1" applyBorder="1"/>
    <xf numFmtId="10" fontId="4" fillId="5" borderId="57" xfId="0" applyNumberFormat="1" applyFont="1" applyFill="1" applyBorder="1"/>
    <xf numFmtId="44" fontId="4" fillId="5" borderId="58" xfId="1" applyFont="1" applyFill="1" applyBorder="1" applyProtection="1"/>
    <xf numFmtId="10" fontId="4" fillId="5" borderId="59" xfId="0" applyNumberFormat="1" applyFont="1" applyFill="1" applyBorder="1"/>
    <xf numFmtId="44" fontId="4" fillId="5" borderId="59" xfId="1" applyFont="1" applyFill="1" applyBorder="1" applyProtection="1"/>
    <xf numFmtId="44" fontId="4" fillId="5" borderId="60" xfId="1" applyFont="1" applyFill="1" applyBorder="1" applyProtection="1"/>
    <xf numFmtId="10" fontId="5" fillId="7" borderId="14" xfId="2" applyNumberFormat="1" applyFont="1" applyFill="1" applyBorder="1"/>
    <xf numFmtId="0" fontId="4" fillId="4" borderId="44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/>
    </xf>
    <xf numFmtId="49" fontId="4" fillId="4" borderId="10" xfId="0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0" fontId="5" fillId="0" borderId="2" xfId="2" applyNumberFormat="1" applyFont="1" applyFill="1" applyBorder="1" applyAlignment="1" applyProtection="1">
      <alignment horizontal="center"/>
      <protection locked="0"/>
    </xf>
    <xf numFmtId="10" fontId="5" fillId="0" borderId="3" xfId="2" applyNumberFormat="1" applyFont="1" applyFill="1" applyBorder="1" applyAlignment="1" applyProtection="1">
      <alignment horizontal="center"/>
      <protection locked="0"/>
    </xf>
    <xf numFmtId="0" fontId="4" fillId="4" borderId="43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8" borderId="39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50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 vertical="center"/>
    </xf>
    <xf numFmtId="0" fontId="6" fillId="2" borderId="32" xfId="0" applyFont="1" applyFill="1" applyBorder="1"/>
    <xf numFmtId="0" fontId="7" fillId="0" borderId="33" xfId="0" applyFont="1" applyBorder="1"/>
    <xf numFmtId="0" fontId="6" fillId="2" borderId="38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42" xfId="0" applyFont="1" applyBorder="1"/>
    <xf numFmtId="0" fontId="7" fillId="8" borderId="38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8" borderId="36" xfId="0" applyFont="1" applyFill="1" applyBorder="1" applyAlignment="1">
      <alignment horizontal="center"/>
    </xf>
    <xf numFmtId="165" fontId="5" fillId="0" borderId="2" xfId="0" applyNumberFormat="1" applyFont="1" applyBorder="1" applyAlignment="1" applyProtection="1">
      <alignment horizontal="center"/>
      <protection locked="0"/>
    </xf>
    <xf numFmtId="165" fontId="5" fillId="0" borderId="3" xfId="0" applyNumberFormat="1" applyFont="1" applyBorder="1" applyAlignment="1" applyProtection="1">
      <alignment horizontal="center"/>
      <protection locked="0"/>
    </xf>
    <xf numFmtId="166" fontId="5" fillId="7" borderId="5" xfId="0" applyNumberFormat="1" applyFont="1" applyFill="1" applyBorder="1" applyAlignment="1">
      <alignment horizontal="center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4" fillId="5" borderId="53" xfId="0" applyFont="1" applyFill="1" applyBorder="1" applyAlignment="1">
      <alignment horizontal="left"/>
    </xf>
    <xf numFmtId="0" fontId="4" fillId="5" borderId="54" xfId="0" applyFont="1" applyFill="1" applyBorder="1" applyAlignment="1">
      <alignment horizontal="left"/>
    </xf>
    <xf numFmtId="0" fontId="6" fillId="2" borderId="33" xfId="0" applyFont="1" applyFill="1" applyBorder="1" applyAlignment="1">
      <alignment horizontal="center"/>
    </xf>
    <xf numFmtId="0" fontId="7" fillId="0" borderId="36" xfId="0" applyFont="1" applyBorder="1"/>
    <xf numFmtId="0" fontId="5" fillId="0" borderId="4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/>
      <protection locked="0"/>
    </xf>
    <xf numFmtId="164" fontId="5" fillId="7" borderId="2" xfId="0" applyNumberFormat="1" applyFont="1" applyFill="1" applyBorder="1" applyAlignment="1">
      <alignment horizontal="center"/>
    </xf>
    <xf numFmtId="164" fontId="5" fillId="7" borderId="3" xfId="0" applyNumberFormat="1" applyFont="1" applyFill="1" applyBorder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10" fontId="5" fillId="0" borderId="5" xfId="0" applyNumberFormat="1" applyFont="1" applyBorder="1" applyAlignment="1" applyProtection="1">
      <alignment horizontal="center"/>
      <protection locked="0"/>
    </xf>
    <xf numFmtId="10" fontId="5" fillId="0" borderId="8" xfId="0" applyNumberFormat="1" applyFont="1" applyBorder="1" applyAlignment="1" applyProtection="1">
      <alignment horizontal="center"/>
      <protection locked="0"/>
    </xf>
    <xf numFmtId="17" fontId="5" fillId="0" borderId="2" xfId="0" applyNumberFormat="1" applyFont="1" applyBorder="1" applyAlignment="1" applyProtection="1">
      <alignment horizontal="center"/>
      <protection locked="0"/>
    </xf>
    <xf numFmtId="17" fontId="5" fillId="0" borderId="3" xfId="0" applyNumberFormat="1" applyFont="1" applyBorder="1" applyAlignment="1" applyProtection="1">
      <alignment horizontal="center"/>
      <protection locked="0"/>
    </xf>
    <xf numFmtId="166" fontId="5" fillId="7" borderId="2" xfId="0" applyNumberFormat="1" applyFont="1" applyFill="1" applyBorder="1" applyAlignment="1">
      <alignment horizontal="center"/>
    </xf>
    <xf numFmtId="166" fontId="5" fillId="7" borderId="3" xfId="0" applyNumberFormat="1" applyFont="1" applyFill="1" applyBorder="1" applyAlignment="1">
      <alignment horizontal="center"/>
    </xf>
    <xf numFmtId="0" fontId="4" fillId="5" borderId="35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4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1E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"/>
  <sheetViews>
    <sheetView showGridLines="0" tabSelected="1" zoomScaleNormal="100" workbookViewId="0">
      <selection activeCell="B2" sqref="B2:D2"/>
    </sheetView>
  </sheetViews>
  <sheetFormatPr baseColWidth="10" defaultColWidth="8.83203125" defaultRowHeight="14" x14ac:dyDescent="0.15"/>
  <cols>
    <col min="1" max="1" width="44.5" style="1" customWidth="1"/>
    <col min="2" max="2" width="18.83203125" style="1" customWidth="1"/>
    <col min="3" max="3" width="16" style="1" customWidth="1"/>
    <col min="4" max="4" width="32.33203125" style="1" customWidth="1"/>
    <col min="5" max="5" width="19.5" style="1" customWidth="1"/>
    <col min="6" max="29" width="14" style="1" customWidth="1"/>
    <col min="30" max="30" width="11" style="1" customWidth="1"/>
    <col min="31" max="33" width="15.33203125" style="1" customWidth="1"/>
    <col min="34" max="39" width="13" style="1" customWidth="1"/>
    <col min="40" max="16384" width="8.83203125" style="1"/>
  </cols>
  <sheetData>
    <row r="1" spans="1:33" ht="28" customHeight="1" x14ac:dyDescent="0.25">
      <c r="A1" s="84" t="s">
        <v>16</v>
      </c>
      <c r="B1" s="85"/>
      <c r="C1" s="85"/>
      <c r="D1" s="85"/>
      <c r="E1" s="34"/>
      <c r="F1" s="34"/>
      <c r="G1" s="34"/>
      <c r="H1" s="100" t="s">
        <v>19</v>
      </c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34"/>
      <c r="AE1" s="34"/>
      <c r="AF1" s="34"/>
      <c r="AG1" s="35"/>
    </row>
    <row r="2" spans="1:33" ht="18" customHeight="1" x14ac:dyDescent="0.15">
      <c r="A2" s="36" t="s">
        <v>0</v>
      </c>
      <c r="B2" s="102"/>
      <c r="C2" s="102"/>
      <c r="D2" s="103"/>
      <c r="E2" s="37"/>
      <c r="F2" s="37"/>
      <c r="G2" s="37"/>
      <c r="H2" s="96" t="s">
        <v>42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37"/>
      <c r="AE2" s="37"/>
      <c r="AF2" s="37"/>
      <c r="AG2" s="38"/>
    </row>
    <row r="3" spans="1:33" ht="18" customHeight="1" x14ac:dyDescent="0.15">
      <c r="A3" s="36" t="s">
        <v>1</v>
      </c>
      <c r="B3" s="104"/>
      <c r="C3" s="104"/>
      <c r="D3" s="105"/>
      <c r="E3" s="37"/>
      <c r="F3" s="37"/>
      <c r="G3" s="3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37"/>
      <c r="AE3" s="37"/>
      <c r="AF3" s="37"/>
      <c r="AG3" s="38"/>
    </row>
    <row r="4" spans="1:33" ht="18" customHeight="1" x14ac:dyDescent="0.15">
      <c r="A4" s="39" t="s">
        <v>2</v>
      </c>
      <c r="B4" s="106"/>
      <c r="C4" s="106"/>
      <c r="D4" s="107"/>
      <c r="E4" s="37"/>
      <c r="F4" s="37"/>
      <c r="G4" s="3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37"/>
      <c r="AE4" s="37"/>
      <c r="AF4" s="37"/>
      <c r="AG4" s="38"/>
    </row>
    <row r="5" spans="1:33" ht="18" customHeight="1" x14ac:dyDescent="0.15">
      <c r="A5" s="39" t="s">
        <v>3</v>
      </c>
      <c r="B5" s="108">
        <f>($B$4/12)*$B$10</f>
        <v>0</v>
      </c>
      <c r="C5" s="108"/>
      <c r="D5" s="109"/>
      <c r="E5" s="37"/>
      <c r="F5" s="37"/>
      <c r="G5" s="3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37"/>
      <c r="AE5" s="37"/>
      <c r="AF5" s="37"/>
      <c r="AG5" s="38"/>
    </row>
    <row r="6" spans="1:33" ht="18" customHeight="1" x14ac:dyDescent="0.15">
      <c r="A6" s="40" t="s">
        <v>4</v>
      </c>
      <c r="B6" s="106"/>
      <c r="C6" s="106"/>
      <c r="D6" s="107"/>
      <c r="E6" s="37"/>
      <c r="F6" s="37"/>
      <c r="G6" s="3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37"/>
      <c r="AE6" s="37"/>
      <c r="AF6" s="37"/>
      <c r="AG6" s="38"/>
    </row>
    <row r="7" spans="1:33" ht="18" customHeight="1" x14ac:dyDescent="0.15">
      <c r="A7" s="41" t="s">
        <v>5</v>
      </c>
      <c r="B7" s="110">
        <f>IF($B$11="Yes",($B$6/12)*$B$10,$B$6/12)</f>
        <v>0</v>
      </c>
      <c r="C7" s="110"/>
      <c r="D7" s="111"/>
      <c r="E7" s="37"/>
      <c r="F7" s="37"/>
      <c r="G7" s="3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37"/>
      <c r="AE7" s="37"/>
      <c r="AF7" s="37"/>
      <c r="AG7" s="38"/>
    </row>
    <row r="8" spans="1:33" ht="18" customHeight="1" x14ac:dyDescent="0.15">
      <c r="A8" s="39" t="s">
        <v>6</v>
      </c>
      <c r="B8" s="112"/>
      <c r="C8" s="112"/>
      <c r="D8" s="113"/>
      <c r="E8" s="37"/>
      <c r="F8" s="37"/>
      <c r="G8" s="3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37"/>
      <c r="AE8" s="37"/>
      <c r="AF8" s="37"/>
      <c r="AG8" s="38"/>
    </row>
    <row r="9" spans="1:33" ht="18" customHeight="1" x14ac:dyDescent="0.15">
      <c r="A9" s="39" t="s">
        <v>7</v>
      </c>
      <c r="B9" s="114"/>
      <c r="C9" s="114"/>
      <c r="D9" s="115"/>
      <c r="E9" s="37"/>
      <c r="F9" s="37"/>
      <c r="G9" s="3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37"/>
      <c r="AE9" s="37"/>
      <c r="AF9" s="37"/>
      <c r="AG9" s="38"/>
    </row>
    <row r="10" spans="1:33" ht="18" customHeight="1" x14ac:dyDescent="0.15">
      <c r="A10" s="39" t="s">
        <v>23</v>
      </c>
      <c r="B10" s="65"/>
      <c r="C10" s="65"/>
      <c r="D10" s="66"/>
      <c r="E10" s="37"/>
      <c r="F10" s="37"/>
      <c r="G10" s="3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37"/>
      <c r="AE10" s="37"/>
      <c r="AF10" s="37"/>
      <c r="AG10" s="38"/>
    </row>
    <row r="11" spans="1:33" ht="18" customHeight="1" x14ac:dyDescent="0.15">
      <c r="A11" s="42" t="s">
        <v>24</v>
      </c>
      <c r="B11" s="93"/>
      <c r="C11" s="93"/>
      <c r="D11" s="94"/>
      <c r="E11" s="37"/>
      <c r="F11" s="37"/>
      <c r="G11" s="3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37"/>
      <c r="AE11" s="37"/>
      <c r="AF11" s="37"/>
      <c r="AG11" s="38"/>
    </row>
    <row r="12" spans="1:33" ht="18" customHeight="1" x14ac:dyDescent="0.15">
      <c r="A12" s="43" t="s">
        <v>17</v>
      </c>
      <c r="B12" s="116">
        <f>$B$5+$B$7</f>
        <v>0</v>
      </c>
      <c r="C12" s="116"/>
      <c r="D12" s="117"/>
      <c r="E12" s="37"/>
      <c r="F12" s="37"/>
      <c r="G12" s="3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37"/>
      <c r="AE12" s="37"/>
      <c r="AF12" s="37"/>
      <c r="AG12" s="38"/>
    </row>
    <row r="13" spans="1:33" ht="18" customHeight="1" x14ac:dyDescent="0.15">
      <c r="A13" s="40" t="s">
        <v>25</v>
      </c>
      <c r="B13" s="95">
        <f>$B$12*(1+$B$8)</f>
        <v>0</v>
      </c>
      <c r="C13" s="95"/>
      <c r="D13" s="95"/>
      <c r="E13" s="37"/>
      <c r="F13" s="37"/>
      <c r="G13" s="3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37"/>
      <c r="AE13" s="37"/>
      <c r="AF13" s="37"/>
      <c r="AG13" s="38"/>
    </row>
    <row r="14" spans="1:33" ht="18" customHeight="1" x14ac:dyDescent="0.25">
      <c r="A14" s="90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2"/>
    </row>
    <row r="15" spans="1:33" ht="18" customHeight="1" x14ac:dyDescent="0.25">
      <c r="A15" s="86" t="s">
        <v>18</v>
      </c>
      <c r="B15" s="87"/>
      <c r="C15" s="87"/>
      <c r="D15" s="87"/>
      <c r="E15" s="88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9"/>
    </row>
    <row r="16" spans="1:33" ht="18" customHeight="1" x14ac:dyDescent="0.15">
      <c r="A16" s="67" t="s">
        <v>8</v>
      </c>
      <c r="B16" s="69" t="s">
        <v>28</v>
      </c>
      <c r="C16" s="69" t="s">
        <v>29</v>
      </c>
      <c r="D16" s="69" t="s">
        <v>9</v>
      </c>
      <c r="E16" s="74" t="s">
        <v>10</v>
      </c>
      <c r="F16" s="62" t="s">
        <v>30</v>
      </c>
      <c r="G16" s="63"/>
      <c r="H16" s="62" t="s">
        <v>31</v>
      </c>
      <c r="I16" s="63"/>
      <c r="J16" s="62" t="s">
        <v>32</v>
      </c>
      <c r="K16" s="63"/>
      <c r="L16" s="62" t="s">
        <v>33</v>
      </c>
      <c r="M16" s="63"/>
      <c r="N16" s="62" t="s">
        <v>34</v>
      </c>
      <c r="O16" s="63"/>
      <c r="P16" s="62" t="s">
        <v>35</v>
      </c>
      <c r="Q16" s="63"/>
      <c r="R16" s="62" t="s">
        <v>36</v>
      </c>
      <c r="S16" s="63"/>
      <c r="T16" s="62" t="s">
        <v>37</v>
      </c>
      <c r="U16" s="63"/>
      <c r="V16" s="62" t="s">
        <v>38</v>
      </c>
      <c r="W16" s="63"/>
      <c r="X16" s="62" t="s">
        <v>39</v>
      </c>
      <c r="Y16" s="63"/>
      <c r="Z16" s="62" t="s">
        <v>40</v>
      </c>
      <c r="AA16" s="63"/>
      <c r="AB16" s="62" t="s">
        <v>41</v>
      </c>
      <c r="AC16" s="63"/>
      <c r="AD16" s="75" t="s">
        <v>11</v>
      </c>
      <c r="AE16" s="75" t="s">
        <v>12</v>
      </c>
      <c r="AF16" s="75" t="s">
        <v>13</v>
      </c>
      <c r="AG16" s="60" t="s">
        <v>14</v>
      </c>
    </row>
    <row r="17" spans="1:33" ht="18" customHeight="1" thickBot="1" x14ac:dyDescent="0.2">
      <c r="A17" s="73"/>
      <c r="B17" s="70"/>
      <c r="C17" s="70"/>
      <c r="D17" s="70"/>
      <c r="E17" s="72"/>
      <c r="F17" s="13" t="s">
        <v>20</v>
      </c>
      <c r="G17" s="14" t="s">
        <v>21</v>
      </c>
      <c r="H17" s="13" t="s">
        <v>20</v>
      </c>
      <c r="I17" s="14" t="s">
        <v>21</v>
      </c>
      <c r="J17" s="13" t="s">
        <v>20</v>
      </c>
      <c r="K17" s="14" t="s">
        <v>21</v>
      </c>
      <c r="L17" s="13" t="s">
        <v>20</v>
      </c>
      <c r="M17" s="14" t="s">
        <v>21</v>
      </c>
      <c r="N17" s="13" t="s">
        <v>20</v>
      </c>
      <c r="O17" s="14" t="s">
        <v>21</v>
      </c>
      <c r="P17" s="13" t="s">
        <v>20</v>
      </c>
      <c r="Q17" s="14" t="s">
        <v>21</v>
      </c>
      <c r="R17" s="13" t="s">
        <v>20</v>
      </c>
      <c r="S17" s="14" t="s">
        <v>21</v>
      </c>
      <c r="T17" s="13" t="s">
        <v>20</v>
      </c>
      <c r="U17" s="14" t="s">
        <v>21</v>
      </c>
      <c r="V17" s="13" t="s">
        <v>20</v>
      </c>
      <c r="W17" s="14" t="s">
        <v>21</v>
      </c>
      <c r="X17" s="13" t="s">
        <v>20</v>
      </c>
      <c r="Y17" s="14" t="s">
        <v>21</v>
      </c>
      <c r="Z17" s="13" t="s">
        <v>20</v>
      </c>
      <c r="AA17" s="14" t="s">
        <v>21</v>
      </c>
      <c r="AB17" s="13" t="s">
        <v>20</v>
      </c>
      <c r="AC17" s="14" t="s">
        <v>21</v>
      </c>
      <c r="AD17" s="76"/>
      <c r="AE17" s="76"/>
      <c r="AF17" s="76"/>
      <c r="AG17" s="61"/>
    </row>
    <row r="18" spans="1:33" s="6" customFormat="1" ht="18" customHeight="1" x14ac:dyDescent="0.15">
      <c r="A18" s="44"/>
      <c r="B18" s="2"/>
      <c r="C18" s="2"/>
      <c r="D18" s="3"/>
      <c r="E18" s="4"/>
      <c r="F18" s="21">
        <f>$B$5*G18</f>
        <v>0</v>
      </c>
      <c r="G18" s="5"/>
      <c r="H18" s="21">
        <f>$B$5*I18</f>
        <v>0</v>
      </c>
      <c r="I18" s="5"/>
      <c r="J18" s="21">
        <f>$B$5*K18</f>
        <v>0</v>
      </c>
      <c r="K18" s="5"/>
      <c r="L18" s="21">
        <f>$B$5*M18</f>
        <v>0</v>
      </c>
      <c r="M18" s="5"/>
      <c r="N18" s="21">
        <f>$B$5*O18</f>
        <v>0</v>
      </c>
      <c r="O18" s="5"/>
      <c r="P18" s="21">
        <f>$B$5*Q18</f>
        <v>0</v>
      </c>
      <c r="Q18" s="5"/>
      <c r="R18" s="21">
        <f>$B$5*S18</f>
        <v>0</v>
      </c>
      <c r="S18" s="5"/>
      <c r="T18" s="21">
        <f>$B$5*U18</f>
        <v>0</v>
      </c>
      <c r="U18" s="5"/>
      <c r="V18" s="21">
        <f>$B$5*W18</f>
        <v>0</v>
      </c>
      <c r="W18" s="5"/>
      <c r="X18" s="21">
        <f>$B$5*Y18</f>
        <v>0</v>
      </c>
      <c r="Y18" s="5"/>
      <c r="Z18" s="21">
        <f>$B$5*AA18</f>
        <v>0</v>
      </c>
      <c r="AA18" s="5"/>
      <c r="AB18" s="21">
        <f>$B$5*AC18</f>
        <v>0</v>
      </c>
      <c r="AC18" s="5"/>
      <c r="AD18" s="22" t="e">
        <f t="shared" ref="AD18:AD32" si="0">AVERAGE(G18,I18,K18,M18,O18,Q18,S18,U18,W18,Y18,AA18,AC18)</f>
        <v>#DIV/0!</v>
      </c>
      <c r="AE18" s="23">
        <f t="shared" ref="AE18:AE32" si="1">F18+H18+J18+L18+N18+P18+R18+T18+V18+X18+Z18+AB18</f>
        <v>0</v>
      </c>
      <c r="AF18" s="23">
        <f>AE18*$B$8</f>
        <v>0</v>
      </c>
      <c r="AG18" s="45">
        <f>AE18+AF18</f>
        <v>0</v>
      </c>
    </row>
    <row r="19" spans="1:33" s="6" customFormat="1" ht="18" customHeight="1" x14ac:dyDescent="0.15">
      <c r="A19" s="46"/>
      <c r="B19" s="8"/>
      <c r="C19" s="8"/>
      <c r="D19" s="7"/>
      <c r="E19" s="9"/>
      <c r="F19" s="21">
        <f>$B$5*G19</f>
        <v>0</v>
      </c>
      <c r="G19" s="5"/>
      <c r="H19" s="21">
        <f t="shared" ref="H19:H32" si="2">$B$5*I19</f>
        <v>0</v>
      </c>
      <c r="I19" s="5"/>
      <c r="J19" s="21">
        <f t="shared" ref="J19:J32" si="3">$B$5*K19</f>
        <v>0</v>
      </c>
      <c r="K19" s="5"/>
      <c r="L19" s="21">
        <f t="shared" ref="L19:L32" si="4">$B$5*M19</f>
        <v>0</v>
      </c>
      <c r="M19" s="5"/>
      <c r="N19" s="21">
        <f t="shared" ref="N19:N32" si="5">$B$5*O19</f>
        <v>0</v>
      </c>
      <c r="O19" s="5"/>
      <c r="P19" s="21">
        <f t="shared" ref="P19:P32" si="6">$B$5*Q19</f>
        <v>0</v>
      </c>
      <c r="Q19" s="5"/>
      <c r="R19" s="21">
        <f t="shared" ref="R19:R32" si="7">$B$5*S19</f>
        <v>0</v>
      </c>
      <c r="S19" s="5"/>
      <c r="T19" s="21">
        <f t="shared" ref="T19:T32" si="8">$B$5*U19</f>
        <v>0</v>
      </c>
      <c r="U19" s="5"/>
      <c r="V19" s="21">
        <f t="shared" ref="V19:V32" si="9">$B$5*W19</f>
        <v>0</v>
      </c>
      <c r="W19" s="5"/>
      <c r="X19" s="21">
        <f t="shared" ref="X19:X32" si="10">$B$5*Y19</f>
        <v>0</v>
      </c>
      <c r="Y19" s="5"/>
      <c r="Z19" s="21">
        <f t="shared" ref="Z19:Z32" si="11">$B$5*AA19</f>
        <v>0</v>
      </c>
      <c r="AA19" s="5"/>
      <c r="AB19" s="21">
        <f t="shared" ref="AB19:AB32" si="12">$B$5*AC19</f>
        <v>0</v>
      </c>
      <c r="AC19" s="5"/>
      <c r="AD19" s="22" t="e">
        <f t="shared" si="0"/>
        <v>#DIV/0!</v>
      </c>
      <c r="AE19" s="23">
        <f t="shared" si="1"/>
        <v>0</v>
      </c>
      <c r="AF19" s="23">
        <f t="shared" ref="AF19:AF32" si="13">AE19*$B$8</f>
        <v>0</v>
      </c>
      <c r="AG19" s="45">
        <f t="shared" ref="AG19:AG21" si="14">AE19+AF19</f>
        <v>0</v>
      </c>
    </row>
    <row r="20" spans="1:33" s="6" customFormat="1" ht="18" customHeight="1" x14ac:dyDescent="0.15">
      <c r="A20" s="46"/>
      <c r="B20" s="8"/>
      <c r="C20" s="8"/>
      <c r="D20" s="7"/>
      <c r="E20" s="9"/>
      <c r="F20" s="21">
        <f t="shared" ref="F20:F32" si="15">$B$5*G20</f>
        <v>0</v>
      </c>
      <c r="G20" s="5"/>
      <c r="H20" s="21">
        <f t="shared" si="2"/>
        <v>0</v>
      </c>
      <c r="I20" s="5"/>
      <c r="J20" s="21">
        <f t="shared" si="3"/>
        <v>0</v>
      </c>
      <c r="K20" s="5"/>
      <c r="L20" s="21">
        <f t="shared" si="4"/>
        <v>0</v>
      </c>
      <c r="M20" s="5"/>
      <c r="N20" s="21">
        <f t="shared" si="5"/>
        <v>0</v>
      </c>
      <c r="O20" s="5"/>
      <c r="P20" s="21">
        <f t="shared" si="6"/>
        <v>0</v>
      </c>
      <c r="Q20" s="5"/>
      <c r="R20" s="21">
        <f t="shared" si="7"/>
        <v>0</v>
      </c>
      <c r="S20" s="5"/>
      <c r="T20" s="21">
        <f t="shared" si="8"/>
        <v>0</v>
      </c>
      <c r="U20" s="5"/>
      <c r="V20" s="21">
        <f t="shared" si="9"/>
        <v>0</v>
      </c>
      <c r="W20" s="5"/>
      <c r="X20" s="21">
        <f t="shared" si="10"/>
        <v>0</v>
      </c>
      <c r="Y20" s="5"/>
      <c r="Z20" s="21">
        <f t="shared" si="11"/>
        <v>0</v>
      </c>
      <c r="AA20" s="5"/>
      <c r="AB20" s="21">
        <f t="shared" si="12"/>
        <v>0</v>
      </c>
      <c r="AC20" s="5"/>
      <c r="AD20" s="22" t="e">
        <f t="shared" si="0"/>
        <v>#DIV/0!</v>
      </c>
      <c r="AE20" s="23">
        <f t="shared" si="1"/>
        <v>0</v>
      </c>
      <c r="AF20" s="23">
        <f t="shared" si="13"/>
        <v>0</v>
      </c>
      <c r="AG20" s="45">
        <f t="shared" si="14"/>
        <v>0</v>
      </c>
    </row>
    <row r="21" spans="1:33" s="6" customFormat="1" ht="18" customHeight="1" x14ac:dyDescent="0.15">
      <c r="A21" s="46"/>
      <c r="B21" s="8"/>
      <c r="C21" s="8"/>
      <c r="D21" s="7"/>
      <c r="E21" s="9"/>
      <c r="F21" s="21">
        <f t="shared" si="15"/>
        <v>0</v>
      </c>
      <c r="G21" s="5"/>
      <c r="H21" s="21">
        <f t="shared" si="2"/>
        <v>0</v>
      </c>
      <c r="I21" s="5"/>
      <c r="J21" s="21">
        <f t="shared" si="3"/>
        <v>0</v>
      </c>
      <c r="K21" s="5"/>
      <c r="L21" s="21">
        <f t="shared" si="4"/>
        <v>0</v>
      </c>
      <c r="M21" s="5"/>
      <c r="N21" s="21">
        <f t="shared" si="5"/>
        <v>0</v>
      </c>
      <c r="O21" s="5"/>
      <c r="P21" s="21">
        <f t="shared" si="6"/>
        <v>0</v>
      </c>
      <c r="Q21" s="5"/>
      <c r="R21" s="21">
        <f t="shared" si="7"/>
        <v>0</v>
      </c>
      <c r="S21" s="5"/>
      <c r="T21" s="21">
        <f t="shared" si="8"/>
        <v>0</v>
      </c>
      <c r="U21" s="5"/>
      <c r="V21" s="21">
        <f t="shared" si="9"/>
        <v>0</v>
      </c>
      <c r="W21" s="5"/>
      <c r="X21" s="21">
        <f t="shared" si="10"/>
        <v>0</v>
      </c>
      <c r="Y21" s="5"/>
      <c r="Z21" s="21">
        <f t="shared" si="11"/>
        <v>0</v>
      </c>
      <c r="AA21" s="5"/>
      <c r="AB21" s="21">
        <f t="shared" si="12"/>
        <v>0</v>
      </c>
      <c r="AC21" s="5"/>
      <c r="AD21" s="22" t="e">
        <f t="shared" si="0"/>
        <v>#DIV/0!</v>
      </c>
      <c r="AE21" s="23">
        <f t="shared" si="1"/>
        <v>0</v>
      </c>
      <c r="AF21" s="23">
        <f t="shared" si="13"/>
        <v>0</v>
      </c>
      <c r="AG21" s="45">
        <f t="shared" si="14"/>
        <v>0</v>
      </c>
    </row>
    <row r="22" spans="1:33" s="6" customFormat="1" ht="18" customHeight="1" x14ac:dyDescent="0.15">
      <c r="A22" s="46"/>
      <c r="B22" s="8"/>
      <c r="C22" s="8"/>
      <c r="D22" s="7"/>
      <c r="E22" s="9"/>
      <c r="F22" s="21">
        <f t="shared" si="15"/>
        <v>0</v>
      </c>
      <c r="G22" s="5"/>
      <c r="H22" s="21">
        <f t="shared" si="2"/>
        <v>0</v>
      </c>
      <c r="I22" s="5"/>
      <c r="J22" s="21">
        <f t="shared" si="3"/>
        <v>0</v>
      </c>
      <c r="K22" s="5"/>
      <c r="L22" s="21">
        <f t="shared" si="4"/>
        <v>0</v>
      </c>
      <c r="M22" s="5"/>
      <c r="N22" s="21">
        <f t="shared" si="5"/>
        <v>0</v>
      </c>
      <c r="O22" s="5"/>
      <c r="P22" s="21">
        <f t="shared" si="6"/>
        <v>0</v>
      </c>
      <c r="Q22" s="5"/>
      <c r="R22" s="21">
        <f t="shared" si="7"/>
        <v>0</v>
      </c>
      <c r="S22" s="5"/>
      <c r="T22" s="21">
        <f t="shared" si="8"/>
        <v>0</v>
      </c>
      <c r="U22" s="5"/>
      <c r="V22" s="21">
        <f t="shared" si="9"/>
        <v>0</v>
      </c>
      <c r="W22" s="5"/>
      <c r="X22" s="21">
        <f t="shared" si="10"/>
        <v>0</v>
      </c>
      <c r="Y22" s="5"/>
      <c r="Z22" s="21">
        <f t="shared" si="11"/>
        <v>0</v>
      </c>
      <c r="AA22" s="5"/>
      <c r="AB22" s="21">
        <f t="shared" si="12"/>
        <v>0</v>
      </c>
      <c r="AC22" s="5"/>
      <c r="AD22" s="22" t="e">
        <f t="shared" si="0"/>
        <v>#DIV/0!</v>
      </c>
      <c r="AE22" s="23">
        <f t="shared" si="1"/>
        <v>0</v>
      </c>
      <c r="AF22" s="23">
        <f t="shared" si="13"/>
        <v>0</v>
      </c>
      <c r="AG22" s="45">
        <f>AE22+AF22</f>
        <v>0</v>
      </c>
    </row>
    <row r="23" spans="1:33" s="6" customFormat="1" ht="18" customHeight="1" x14ac:dyDescent="0.15">
      <c r="A23" s="46"/>
      <c r="B23" s="8"/>
      <c r="C23" s="8"/>
      <c r="D23" s="7"/>
      <c r="E23" s="9"/>
      <c r="F23" s="21">
        <f t="shared" si="15"/>
        <v>0</v>
      </c>
      <c r="G23" s="5"/>
      <c r="H23" s="21">
        <f t="shared" si="2"/>
        <v>0</v>
      </c>
      <c r="I23" s="5"/>
      <c r="J23" s="21">
        <f t="shared" si="3"/>
        <v>0</v>
      </c>
      <c r="K23" s="5"/>
      <c r="L23" s="21">
        <f t="shared" si="4"/>
        <v>0</v>
      </c>
      <c r="M23" s="5"/>
      <c r="N23" s="21">
        <f t="shared" si="5"/>
        <v>0</v>
      </c>
      <c r="O23" s="5"/>
      <c r="P23" s="21">
        <f t="shared" si="6"/>
        <v>0</v>
      </c>
      <c r="Q23" s="5"/>
      <c r="R23" s="21">
        <f t="shared" si="7"/>
        <v>0</v>
      </c>
      <c r="S23" s="5"/>
      <c r="T23" s="21">
        <f t="shared" si="8"/>
        <v>0</v>
      </c>
      <c r="U23" s="5"/>
      <c r="V23" s="21">
        <f t="shared" si="9"/>
        <v>0</v>
      </c>
      <c r="W23" s="5"/>
      <c r="X23" s="21">
        <f t="shared" si="10"/>
        <v>0</v>
      </c>
      <c r="Y23" s="5"/>
      <c r="Z23" s="21">
        <f t="shared" si="11"/>
        <v>0</v>
      </c>
      <c r="AA23" s="5"/>
      <c r="AB23" s="21">
        <f t="shared" si="12"/>
        <v>0</v>
      </c>
      <c r="AC23" s="5"/>
      <c r="AD23" s="22" t="e">
        <f t="shared" si="0"/>
        <v>#DIV/0!</v>
      </c>
      <c r="AE23" s="23">
        <f t="shared" si="1"/>
        <v>0</v>
      </c>
      <c r="AF23" s="23">
        <f t="shared" si="13"/>
        <v>0</v>
      </c>
      <c r="AG23" s="45">
        <f t="shared" ref="AG23:AG32" si="16">AE23+AF23</f>
        <v>0</v>
      </c>
    </row>
    <row r="24" spans="1:33" s="6" customFormat="1" ht="18" customHeight="1" x14ac:dyDescent="0.15">
      <c r="A24" s="46"/>
      <c r="B24" s="8"/>
      <c r="C24" s="8"/>
      <c r="D24" s="7"/>
      <c r="E24" s="9"/>
      <c r="F24" s="21">
        <f t="shared" si="15"/>
        <v>0</v>
      </c>
      <c r="G24" s="5"/>
      <c r="H24" s="21">
        <f t="shared" si="2"/>
        <v>0</v>
      </c>
      <c r="I24" s="5"/>
      <c r="J24" s="21">
        <f t="shared" si="3"/>
        <v>0</v>
      </c>
      <c r="K24" s="5"/>
      <c r="L24" s="21">
        <f t="shared" si="4"/>
        <v>0</v>
      </c>
      <c r="M24" s="5"/>
      <c r="N24" s="21">
        <f t="shared" si="5"/>
        <v>0</v>
      </c>
      <c r="O24" s="5"/>
      <c r="P24" s="21">
        <f t="shared" si="6"/>
        <v>0</v>
      </c>
      <c r="Q24" s="5"/>
      <c r="R24" s="21">
        <f t="shared" si="7"/>
        <v>0</v>
      </c>
      <c r="S24" s="5"/>
      <c r="T24" s="21">
        <f t="shared" si="8"/>
        <v>0</v>
      </c>
      <c r="U24" s="5"/>
      <c r="V24" s="21">
        <f t="shared" si="9"/>
        <v>0</v>
      </c>
      <c r="W24" s="5"/>
      <c r="X24" s="21">
        <f t="shared" si="10"/>
        <v>0</v>
      </c>
      <c r="Y24" s="5"/>
      <c r="Z24" s="21">
        <f t="shared" si="11"/>
        <v>0</v>
      </c>
      <c r="AA24" s="5"/>
      <c r="AB24" s="21">
        <f t="shared" si="12"/>
        <v>0</v>
      </c>
      <c r="AC24" s="5"/>
      <c r="AD24" s="22" t="e">
        <f t="shared" si="0"/>
        <v>#DIV/0!</v>
      </c>
      <c r="AE24" s="23">
        <f t="shared" si="1"/>
        <v>0</v>
      </c>
      <c r="AF24" s="23">
        <f t="shared" si="13"/>
        <v>0</v>
      </c>
      <c r="AG24" s="45">
        <f t="shared" si="16"/>
        <v>0</v>
      </c>
    </row>
    <row r="25" spans="1:33" s="6" customFormat="1" ht="18" customHeight="1" x14ac:dyDescent="0.15">
      <c r="A25" s="46"/>
      <c r="B25" s="8"/>
      <c r="C25" s="8"/>
      <c r="D25" s="7"/>
      <c r="E25" s="9"/>
      <c r="F25" s="21">
        <f t="shared" si="15"/>
        <v>0</v>
      </c>
      <c r="G25" s="5"/>
      <c r="H25" s="21">
        <f t="shared" si="2"/>
        <v>0</v>
      </c>
      <c r="I25" s="5"/>
      <c r="J25" s="21">
        <f t="shared" si="3"/>
        <v>0</v>
      </c>
      <c r="K25" s="5"/>
      <c r="L25" s="21">
        <f t="shared" si="4"/>
        <v>0</v>
      </c>
      <c r="M25" s="5"/>
      <c r="N25" s="21">
        <f t="shared" si="5"/>
        <v>0</v>
      </c>
      <c r="O25" s="5"/>
      <c r="P25" s="21">
        <f t="shared" si="6"/>
        <v>0</v>
      </c>
      <c r="Q25" s="5"/>
      <c r="R25" s="21">
        <f t="shared" si="7"/>
        <v>0</v>
      </c>
      <c r="S25" s="5"/>
      <c r="T25" s="21">
        <f t="shared" si="8"/>
        <v>0</v>
      </c>
      <c r="U25" s="5"/>
      <c r="V25" s="21">
        <f t="shared" si="9"/>
        <v>0</v>
      </c>
      <c r="W25" s="5"/>
      <c r="X25" s="21">
        <f t="shared" si="10"/>
        <v>0</v>
      </c>
      <c r="Y25" s="5"/>
      <c r="Z25" s="21">
        <f t="shared" si="11"/>
        <v>0</v>
      </c>
      <c r="AA25" s="5"/>
      <c r="AB25" s="21">
        <f t="shared" si="12"/>
        <v>0</v>
      </c>
      <c r="AC25" s="5"/>
      <c r="AD25" s="22" t="e">
        <f t="shared" si="0"/>
        <v>#DIV/0!</v>
      </c>
      <c r="AE25" s="23">
        <f t="shared" si="1"/>
        <v>0</v>
      </c>
      <c r="AF25" s="23">
        <f t="shared" si="13"/>
        <v>0</v>
      </c>
      <c r="AG25" s="45">
        <f t="shared" si="16"/>
        <v>0</v>
      </c>
    </row>
    <row r="26" spans="1:33" s="6" customFormat="1" ht="18" customHeight="1" x14ac:dyDescent="0.15">
      <c r="A26" s="46"/>
      <c r="B26" s="8"/>
      <c r="C26" s="8"/>
      <c r="D26" s="7"/>
      <c r="E26" s="9"/>
      <c r="F26" s="21">
        <f t="shared" si="15"/>
        <v>0</v>
      </c>
      <c r="G26" s="5"/>
      <c r="H26" s="21">
        <f t="shared" si="2"/>
        <v>0</v>
      </c>
      <c r="I26" s="5"/>
      <c r="J26" s="21">
        <f t="shared" si="3"/>
        <v>0</v>
      </c>
      <c r="K26" s="5"/>
      <c r="L26" s="21">
        <f t="shared" si="4"/>
        <v>0</v>
      </c>
      <c r="M26" s="5"/>
      <c r="N26" s="21">
        <f t="shared" si="5"/>
        <v>0</v>
      </c>
      <c r="O26" s="5"/>
      <c r="P26" s="21">
        <f t="shared" si="6"/>
        <v>0</v>
      </c>
      <c r="Q26" s="5"/>
      <c r="R26" s="21">
        <f t="shared" si="7"/>
        <v>0</v>
      </c>
      <c r="S26" s="5"/>
      <c r="T26" s="21">
        <f t="shared" si="8"/>
        <v>0</v>
      </c>
      <c r="U26" s="5"/>
      <c r="V26" s="21">
        <f t="shared" si="9"/>
        <v>0</v>
      </c>
      <c r="W26" s="5"/>
      <c r="X26" s="21">
        <f t="shared" si="10"/>
        <v>0</v>
      </c>
      <c r="Y26" s="5"/>
      <c r="Z26" s="21">
        <f t="shared" si="11"/>
        <v>0</v>
      </c>
      <c r="AA26" s="5"/>
      <c r="AB26" s="21">
        <f t="shared" si="12"/>
        <v>0</v>
      </c>
      <c r="AC26" s="5"/>
      <c r="AD26" s="22" t="e">
        <f t="shared" si="0"/>
        <v>#DIV/0!</v>
      </c>
      <c r="AE26" s="23">
        <f t="shared" si="1"/>
        <v>0</v>
      </c>
      <c r="AF26" s="23">
        <f t="shared" si="13"/>
        <v>0</v>
      </c>
      <c r="AG26" s="45">
        <f t="shared" si="16"/>
        <v>0</v>
      </c>
    </row>
    <row r="27" spans="1:33" s="6" customFormat="1" ht="18" customHeight="1" x14ac:dyDescent="0.15">
      <c r="A27" s="46"/>
      <c r="B27" s="8"/>
      <c r="C27" s="8"/>
      <c r="D27" s="7"/>
      <c r="E27" s="9"/>
      <c r="F27" s="21">
        <f t="shared" si="15"/>
        <v>0</v>
      </c>
      <c r="G27" s="5"/>
      <c r="H27" s="21">
        <f t="shared" si="2"/>
        <v>0</v>
      </c>
      <c r="I27" s="5"/>
      <c r="J27" s="21">
        <f t="shared" si="3"/>
        <v>0</v>
      </c>
      <c r="K27" s="5"/>
      <c r="L27" s="21">
        <f t="shared" si="4"/>
        <v>0</v>
      </c>
      <c r="M27" s="5"/>
      <c r="N27" s="21">
        <f t="shared" si="5"/>
        <v>0</v>
      </c>
      <c r="O27" s="5"/>
      <c r="P27" s="21">
        <f t="shared" si="6"/>
        <v>0</v>
      </c>
      <c r="Q27" s="5"/>
      <c r="R27" s="21">
        <f t="shared" si="7"/>
        <v>0</v>
      </c>
      <c r="S27" s="5"/>
      <c r="T27" s="21">
        <f t="shared" si="8"/>
        <v>0</v>
      </c>
      <c r="U27" s="5"/>
      <c r="V27" s="21">
        <f t="shared" si="9"/>
        <v>0</v>
      </c>
      <c r="W27" s="5"/>
      <c r="X27" s="21">
        <f t="shared" si="10"/>
        <v>0</v>
      </c>
      <c r="Y27" s="5"/>
      <c r="Z27" s="21">
        <f t="shared" si="11"/>
        <v>0</v>
      </c>
      <c r="AA27" s="5"/>
      <c r="AB27" s="21">
        <f t="shared" si="12"/>
        <v>0</v>
      </c>
      <c r="AC27" s="5"/>
      <c r="AD27" s="22" t="e">
        <f t="shared" si="0"/>
        <v>#DIV/0!</v>
      </c>
      <c r="AE27" s="23">
        <f t="shared" si="1"/>
        <v>0</v>
      </c>
      <c r="AF27" s="23">
        <f t="shared" si="13"/>
        <v>0</v>
      </c>
      <c r="AG27" s="45">
        <f t="shared" si="16"/>
        <v>0</v>
      </c>
    </row>
    <row r="28" spans="1:33" s="6" customFormat="1" ht="18" customHeight="1" x14ac:dyDescent="0.15">
      <c r="A28" s="46"/>
      <c r="B28" s="8"/>
      <c r="C28" s="8"/>
      <c r="D28" s="7"/>
      <c r="E28" s="9"/>
      <c r="F28" s="21">
        <f t="shared" si="15"/>
        <v>0</v>
      </c>
      <c r="G28" s="5"/>
      <c r="H28" s="21">
        <f t="shared" si="2"/>
        <v>0</v>
      </c>
      <c r="I28" s="5"/>
      <c r="J28" s="21">
        <f t="shared" si="3"/>
        <v>0</v>
      </c>
      <c r="K28" s="5"/>
      <c r="L28" s="21">
        <f t="shared" si="4"/>
        <v>0</v>
      </c>
      <c r="M28" s="5"/>
      <c r="N28" s="21">
        <f t="shared" si="5"/>
        <v>0</v>
      </c>
      <c r="O28" s="5"/>
      <c r="P28" s="21">
        <f t="shared" si="6"/>
        <v>0</v>
      </c>
      <c r="Q28" s="5"/>
      <c r="R28" s="21">
        <f t="shared" si="7"/>
        <v>0</v>
      </c>
      <c r="S28" s="5"/>
      <c r="T28" s="21">
        <f t="shared" si="8"/>
        <v>0</v>
      </c>
      <c r="U28" s="5"/>
      <c r="V28" s="21">
        <f t="shared" si="9"/>
        <v>0</v>
      </c>
      <c r="W28" s="5"/>
      <c r="X28" s="21">
        <f t="shared" si="10"/>
        <v>0</v>
      </c>
      <c r="Y28" s="5"/>
      <c r="Z28" s="21">
        <f t="shared" si="11"/>
        <v>0</v>
      </c>
      <c r="AA28" s="5"/>
      <c r="AB28" s="21">
        <f t="shared" si="12"/>
        <v>0</v>
      </c>
      <c r="AC28" s="5"/>
      <c r="AD28" s="22" t="e">
        <f t="shared" si="0"/>
        <v>#DIV/0!</v>
      </c>
      <c r="AE28" s="23">
        <f t="shared" si="1"/>
        <v>0</v>
      </c>
      <c r="AF28" s="23">
        <f t="shared" si="13"/>
        <v>0</v>
      </c>
      <c r="AG28" s="45">
        <f t="shared" si="16"/>
        <v>0</v>
      </c>
    </row>
    <row r="29" spans="1:33" s="6" customFormat="1" ht="18" customHeight="1" x14ac:dyDescent="0.15">
      <c r="A29" s="46"/>
      <c r="B29" s="8"/>
      <c r="C29" s="8"/>
      <c r="D29" s="7"/>
      <c r="E29" s="9"/>
      <c r="F29" s="21">
        <f t="shared" si="15"/>
        <v>0</v>
      </c>
      <c r="G29" s="5"/>
      <c r="H29" s="21">
        <f t="shared" si="2"/>
        <v>0</v>
      </c>
      <c r="I29" s="5"/>
      <c r="J29" s="21">
        <f t="shared" si="3"/>
        <v>0</v>
      </c>
      <c r="K29" s="5"/>
      <c r="L29" s="21">
        <f t="shared" si="4"/>
        <v>0</v>
      </c>
      <c r="M29" s="5"/>
      <c r="N29" s="21">
        <f t="shared" si="5"/>
        <v>0</v>
      </c>
      <c r="O29" s="5"/>
      <c r="P29" s="21">
        <f t="shared" si="6"/>
        <v>0</v>
      </c>
      <c r="Q29" s="5"/>
      <c r="R29" s="21">
        <f t="shared" si="7"/>
        <v>0</v>
      </c>
      <c r="S29" s="5"/>
      <c r="T29" s="21">
        <f t="shared" si="8"/>
        <v>0</v>
      </c>
      <c r="U29" s="5"/>
      <c r="V29" s="21">
        <f t="shared" si="9"/>
        <v>0</v>
      </c>
      <c r="W29" s="5"/>
      <c r="X29" s="21">
        <f t="shared" si="10"/>
        <v>0</v>
      </c>
      <c r="Y29" s="5"/>
      <c r="Z29" s="21">
        <f t="shared" si="11"/>
        <v>0</v>
      </c>
      <c r="AA29" s="5"/>
      <c r="AB29" s="21">
        <f t="shared" si="12"/>
        <v>0</v>
      </c>
      <c r="AC29" s="5"/>
      <c r="AD29" s="22" t="e">
        <f t="shared" si="0"/>
        <v>#DIV/0!</v>
      </c>
      <c r="AE29" s="23">
        <f t="shared" si="1"/>
        <v>0</v>
      </c>
      <c r="AF29" s="23">
        <f t="shared" si="13"/>
        <v>0</v>
      </c>
      <c r="AG29" s="45">
        <f t="shared" si="16"/>
        <v>0</v>
      </c>
    </row>
    <row r="30" spans="1:33" s="6" customFormat="1" ht="18" customHeight="1" x14ac:dyDescent="0.15">
      <c r="A30" s="46"/>
      <c r="B30" s="8"/>
      <c r="C30" s="8"/>
      <c r="D30" s="7"/>
      <c r="E30" s="9"/>
      <c r="F30" s="21">
        <f t="shared" si="15"/>
        <v>0</v>
      </c>
      <c r="G30" s="5"/>
      <c r="H30" s="21">
        <f t="shared" si="2"/>
        <v>0</v>
      </c>
      <c r="I30" s="5"/>
      <c r="J30" s="21">
        <f t="shared" si="3"/>
        <v>0</v>
      </c>
      <c r="K30" s="5"/>
      <c r="L30" s="21">
        <f t="shared" si="4"/>
        <v>0</v>
      </c>
      <c r="M30" s="5"/>
      <c r="N30" s="21">
        <f t="shared" si="5"/>
        <v>0</v>
      </c>
      <c r="O30" s="5"/>
      <c r="P30" s="21">
        <f t="shared" si="6"/>
        <v>0</v>
      </c>
      <c r="Q30" s="5"/>
      <c r="R30" s="21">
        <f t="shared" si="7"/>
        <v>0</v>
      </c>
      <c r="S30" s="5"/>
      <c r="T30" s="21">
        <f t="shared" si="8"/>
        <v>0</v>
      </c>
      <c r="U30" s="5"/>
      <c r="V30" s="21">
        <f t="shared" si="9"/>
        <v>0</v>
      </c>
      <c r="W30" s="5"/>
      <c r="X30" s="21">
        <f t="shared" si="10"/>
        <v>0</v>
      </c>
      <c r="Y30" s="5"/>
      <c r="Z30" s="21">
        <f t="shared" si="11"/>
        <v>0</v>
      </c>
      <c r="AA30" s="5"/>
      <c r="AB30" s="21">
        <f t="shared" si="12"/>
        <v>0</v>
      </c>
      <c r="AC30" s="5"/>
      <c r="AD30" s="22" t="e">
        <f t="shared" si="0"/>
        <v>#DIV/0!</v>
      </c>
      <c r="AE30" s="23">
        <f t="shared" si="1"/>
        <v>0</v>
      </c>
      <c r="AF30" s="23">
        <f t="shared" si="13"/>
        <v>0</v>
      </c>
      <c r="AG30" s="45">
        <f t="shared" si="16"/>
        <v>0</v>
      </c>
    </row>
    <row r="31" spans="1:33" s="6" customFormat="1" ht="18" customHeight="1" x14ac:dyDescent="0.15">
      <c r="A31" s="46"/>
      <c r="B31" s="8"/>
      <c r="C31" s="8"/>
      <c r="D31" s="7"/>
      <c r="E31" s="9"/>
      <c r="F31" s="21">
        <f t="shared" si="15"/>
        <v>0</v>
      </c>
      <c r="G31" s="5"/>
      <c r="H31" s="21">
        <f t="shared" si="2"/>
        <v>0</v>
      </c>
      <c r="I31" s="5"/>
      <c r="J31" s="21">
        <f t="shared" si="3"/>
        <v>0</v>
      </c>
      <c r="K31" s="5"/>
      <c r="L31" s="21">
        <f t="shared" si="4"/>
        <v>0</v>
      </c>
      <c r="M31" s="5"/>
      <c r="N31" s="21">
        <f t="shared" si="5"/>
        <v>0</v>
      </c>
      <c r="O31" s="5"/>
      <c r="P31" s="21">
        <f t="shared" si="6"/>
        <v>0</v>
      </c>
      <c r="Q31" s="5"/>
      <c r="R31" s="21">
        <f t="shared" si="7"/>
        <v>0</v>
      </c>
      <c r="S31" s="5"/>
      <c r="T31" s="21">
        <f t="shared" si="8"/>
        <v>0</v>
      </c>
      <c r="U31" s="5"/>
      <c r="V31" s="21">
        <f t="shared" si="9"/>
        <v>0</v>
      </c>
      <c r="W31" s="5"/>
      <c r="X31" s="21">
        <f t="shared" si="10"/>
        <v>0</v>
      </c>
      <c r="Y31" s="5"/>
      <c r="Z31" s="21">
        <f t="shared" si="11"/>
        <v>0</v>
      </c>
      <c r="AA31" s="5"/>
      <c r="AB31" s="21">
        <f t="shared" si="12"/>
        <v>0</v>
      </c>
      <c r="AC31" s="5"/>
      <c r="AD31" s="22" t="e">
        <f t="shared" si="0"/>
        <v>#DIV/0!</v>
      </c>
      <c r="AE31" s="23">
        <f t="shared" si="1"/>
        <v>0</v>
      </c>
      <c r="AF31" s="23">
        <f t="shared" si="13"/>
        <v>0</v>
      </c>
      <c r="AG31" s="45">
        <f t="shared" si="16"/>
        <v>0</v>
      </c>
    </row>
    <row r="32" spans="1:33" s="6" customFormat="1" ht="18" customHeight="1" x14ac:dyDescent="0.15">
      <c r="A32" s="47"/>
      <c r="B32" s="11"/>
      <c r="C32" s="11"/>
      <c r="D32" s="10"/>
      <c r="E32" s="12"/>
      <c r="F32" s="21">
        <f t="shared" si="15"/>
        <v>0</v>
      </c>
      <c r="G32" s="5"/>
      <c r="H32" s="21">
        <f t="shared" si="2"/>
        <v>0</v>
      </c>
      <c r="I32" s="5"/>
      <c r="J32" s="21">
        <f t="shared" si="3"/>
        <v>0</v>
      </c>
      <c r="K32" s="5"/>
      <c r="L32" s="21">
        <f t="shared" si="4"/>
        <v>0</v>
      </c>
      <c r="M32" s="5"/>
      <c r="N32" s="21">
        <f t="shared" si="5"/>
        <v>0</v>
      </c>
      <c r="O32" s="5"/>
      <c r="P32" s="21">
        <f t="shared" si="6"/>
        <v>0</v>
      </c>
      <c r="Q32" s="5"/>
      <c r="R32" s="21">
        <f t="shared" si="7"/>
        <v>0</v>
      </c>
      <c r="S32" s="5"/>
      <c r="T32" s="21">
        <f t="shared" si="8"/>
        <v>0</v>
      </c>
      <c r="U32" s="5"/>
      <c r="V32" s="21">
        <f t="shared" si="9"/>
        <v>0</v>
      </c>
      <c r="W32" s="5"/>
      <c r="X32" s="21">
        <f t="shared" si="10"/>
        <v>0</v>
      </c>
      <c r="Y32" s="5"/>
      <c r="Z32" s="21">
        <f t="shared" si="11"/>
        <v>0</v>
      </c>
      <c r="AA32" s="5"/>
      <c r="AB32" s="21">
        <f t="shared" si="12"/>
        <v>0</v>
      </c>
      <c r="AC32" s="5"/>
      <c r="AD32" s="22" t="e">
        <f t="shared" si="0"/>
        <v>#DIV/0!</v>
      </c>
      <c r="AE32" s="23">
        <f t="shared" si="1"/>
        <v>0</v>
      </c>
      <c r="AF32" s="23">
        <f t="shared" si="13"/>
        <v>0</v>
      </c>
      <c r="AG32" s="45">
        <f t="shared" si="16"/>
        <v>0</v>
      </c>
    </row>
    <row r="33" spans="1:33" ht="18" customHeight="1" x14ac:dyDescent="0.15">
      <c r="A33" s="118" t="s">
        <v>15</v>
      </c>
      <c r="B33" s="119"/>
      <c r="C33" s="119"/>
      <c r="D33" s="119"/>
      <c r="E33" s="119"/>
      <c r="F33" s="15">
        <f>SUM(F18:F32)</f>
        <v>0</v>
      </c>
      <c r="G33" s="16" t="str">
        <f>IF($B$5=0,"",F33/$B$5)</f>
        <v/>
      </c>
      <c r="H33" s="15">
        <f t="shared" ref="H33:AB33" si="17">SUM(H18:H32)</f>
        <v>0</v>
      </c>
      <c r="I33" s="16" t="str">
        <f>IF($B$5=0,"",H33/$B$5)</f>
        <v/>
      </c>
      <c r="J33" s="15">
        <f t="shared" si="17"/>
        <v>0</v>
      </c>
      <c r="K33" s="16" t="str">
        <f>IF($B$5=0,"",J33/$B$5)</f>
        <v/>
      </c>
      <c r="L33" s="15">
        <f t="shared" si="17"/>
        <v>0</v>
      </c>
      <c r="M33" s="16" t="str">
        <f>IF($B$5=0,"",L33/$B$5)</f>
        <v/>
      </c>
      <c r="N33" s="18">
        <f t="shared" si="17"/>
        <v>0</v>
      </c>
      <c r="O33" s="17" t="str">
        <f>IF($B$5=0,"",N33/$B$5)</f>
        <v/>
      </c>
      <c r="P33" s="18">
        <f t="shared" si="17"/>
        <v>0</v>
      </c>
      <c r="Q33" s="17" t="str">
        <f>IF($B$5=0,"",P33/$B$5)</f>
        <v/>
      </c>
      <c r="R33" s="18">
        <f t="shared" si="17"/>
        <v>0</v>
      </c>
      <c r="S33" s="17" t="str">
        <f>IF($B$5=0,"",R33/$B$5)</f>
        <v/>
      </c>
      <c r="T33" s="18">
        <f t="shared" si="17"/>
        <v>0</v>
      </c>
      <c r="U33" s="17" t="str">
        <f>IF($B$5=0,"",T33/$B$5)</f>
        <v/>
      </c>
      <c r="V33" s="18">
        <f t="shared" si="17"/>
        <v>0</v>
      </c>
      <c r="W33" s="17" t="str">
        <f>IF($B$5=0,"",V33/$B$5)</f>
        <v/>
      </c>
      <c r="X33" s="18">
        <f t="shared" si="17"/>
        <v>0</v>
      </c>
      <c r="Y33" s="17" t="str">
        <f>IF($B$5=0,"",X33/$B$5)</f>
        <v/>
      </c>
      <c r="Z33" s="18">
        <f t="shared" si="17"/>
        <v>0</v>
      </c>
      <c r="AA33" s="16" t="str">
        <f>IF($B$5=0,"",Z33/$B$5)</f>
        <v/>
      </c>
      <c r="AB33" s="15">
        <f t="shared" si="17"/>
        <v>0</v>
      </c>
      <c r="AC33" s="16" t="str">
        <f>IF($B$5=0,"",AB33/$B$5)</f>
        <v/>
      </c>
      <c r="AD33" s="19" t="e">
        <f t="shared" ref="AD33" si="18">AVERAGE(G33,I33,K33,M33,O33,Q33,S33,U33,W33,Y33,AA33,AC33)</f>
        <v>#DIV/0!</v>
      </c>
      <c r="AE33" s="20">
        <f>SUM(AE18:AE32)</f>
        <v>0</v>
      </c>
      <c r="AF33" s="20">
        <f>SUM(AF18:AF32)</f>
        <v>0</v>
      </c>
      <c r="AG33" s="48">
        <f>SUM(AG18:AG32)</f>
        <v>0</v>
      </c>
    </row>
    <row r="34" spans="1:33" ht="18" customHeight="1" x14ac:dyDescent="0.15">
      <c r="A34" s="77"/>
      <c r="B34" s="78"/>
      <c r="C34" s="78"/>
      <c r="D34" s="78"/>
      <c r="E34" s="78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80"/>
    </row>
    <row r="35" spans="1:33" ht="18" customHeight="1" x14ac:dyDescent="0.15">
      <c r="A35" s="81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82"/>
    </row>
    <row r="36" spans="1:33" ht="18" customHeight="1" x14ac:dyDescent="0.25">
      <c r="A36" s="86" t="s">
        <v>27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101"/>
    </row>
    <row r="37" spans="1:33" ht="18" customHeight="1" x14ac:dyDescent="0.15">
      <c r="A37" s="67" t="s">
        <v>8</v>
      </c>
      <c r="B37" s="69" t="s">
        <v>28</v>
      </c>
      <c r="C37" s="69" t="s">
        <v>29</v>
      </c>
      <c r="D37" s="69" t="s">
        <v>9</v>
      </c>
      <c r="E37" s="71" t="s">
        <v>10</v>
      </c>
      <c r="F37" s="62" t="s">
        <v>30</v>
      </c>
      <c r="G37" s="63"/>
      <c r="H37" s="62" t="s">
        <v>31</v>
      </c>
      <c r="I37" s="63"/>
      <c r="J37" s="62" t="s">
        <v>32</v>
      </c>
      <c r="K37" s="63"/>
      <c r="L37" s="62" t="s">
        <v>33</v>
      </c>
      <c r="M37" s="63"/>
      <c r="N37" s="62" t="s">
        <v>34</v>
      </c>
      <c r="O37" s="63"/>
      <c r="P37" s="62" t="s">
        <v>35</v>
      </c>
      <c r="Q37" s="63"/>
      <c r="R37" s="62" t="s">
        <v>36</v>
      </c>
      <c r="S37" s="63"/>
      <c r="T37" s="62" t="s">
        <v>37</v>
      </c>
      <c r="U37" s="63"/>
      <c r="V37" s="62" t="s">
        <v>38</v>
      </c>
      <c r="W37" s="63"/>
      <c r="X37" s="62" t="s">
        <v>39</v>
      </c>
      <c r="Y37" s="63"/>
      <c r="Z37" s="62" t="s">
        <v>40</v>
      </c>
      <c r="AA37" s="63"/>
      <c r="AB37" s="62" t="s">
        <v>41</v>
      </c>
      <c r="AC37" s="63"/>
      <c r="AD37" s="75" t="s">
        <v>11</v>
      </c>
      <c r="AE37" s="75" t="s">
        <v>12</v>
      </c>
      <c r="AF37" s="75" t="s">
        <v>13</v>
      </c>
      <c r="AG37" s="83" t="s">
        <v>14</v>
      </c>
    </row>
    <row r="38" spans="1:33" ht="18" customHeight="1" thickBot="1" x14ac:dyDescent="0.2">
      <c r="A38" s="68"/>
      <c r="B38" s="70"/>
      <c r="C38" s="70"/>
      <c r="D38" s="70"/>
      <c r="E38" s="72"/>
      <c r="F38" s="13" t="s">
        <v>20</v>
      </c>
      <c r="G38" s="14" t="s">
        <v>21</v>
      </c>
      <c r="H38" s="13" t="s">
        <v>20</v>
      </c>
      <c r="I38" s="14" t="s">
        <v>21</v>
      </c>
      <c r="J38" s="13" t="s">
        <v>20</v>
      </c>
      <c r="K38" s="14" t="s">
        <v>21</v>
      </c>
      <c r="L38" s="13" t="s">
        <v>20</v>
      </c>
      <c r="M38" s="14" t="s">
        <v>21</v>
      </c>
      <c r="N38" s="13" t="s">
        <v>20</v>
      </c>
      <c r="O38" s="14" t="s">
        <v>21</v>
      </c>
      <c r="P38" s="13" t="s">
        <v>20</v>
      </c>
      <c r="Q38" s="14" t="s">
        <v>21</v>
      </c>
      <c r="R38" s="13" t="s">
        <v>20</v>
      </c>
      <c r="S38" s="14" t="s">
        <v>21</v>
      </c>
      <c r="T38" s="13" t="s">
        <v>20</v>
      </c>
      <c r="U38" s="14" t="s">
        <v>21</v>
      </c>
      <c r="V38" s="13" t="s">
        <v>20</v>
      </c>
      <c r="W38" s="14" t="s">
        <v>21</v>
      </c>
      <c r="X38" s="13" t="s">
        <v>20</v>
      </c>
      <c r="Y38" s="14" t="s">
        <v>21</v>
      </c>
      <c r="Z38" s="13" t="s">
        <v>20</v>
      </c>
      <c r="AA38" s="14" t="s">
        <v>21</v>
      </c>
      <c r="AB38" s="13" t="s">
        <v>20</v>
      </c>
      <c r="AC38" s="14" t="s">
        <v>21</v>
      </c>
      <c r="AD38" s="76"/>
      <c r="AE38" s="76"/>
      <c r="AF38" s="76"/>
      <c r="AG38" s="61"/>
    </row>
    <row r="39" spans="1:33" s="6" customFormat="1" ht="18" customHeight="1" x14ac:dyDescent="0.15">
      <c r="A39" s="49">
        <f t="shared" ref="A39:F39" si="19">A18</f>
        <v>0</v>
      </c>
      <c r="B39" s="28">
        <f t="shared" si="19"/>
        <v>0</v>
      </c>
      <c r="C39" s="28">
        <f t="shared" si="19"/>
        <v>0</v>
      </c>
      <c r="D39" s="27">
        <f t="shared" si="19"/>
        <v>0</v>
      </c>
      <c r="E39" s="29">
        <f t="shared" si="19"/>
        <v>0</v>
      </c>
      <c r="F39" s="21">
        <f t="shared" si="19"/>
        <v>0</v>
      </c>
      <c r="G39" s="30" t="e">
        <f>F39/$B$12</f>
        <v>#DIV/0!</v>
      </c>
      <c r="H39" s="21">
        <f t="shared" ref="H39:H53" si="20">H18</f>
        <v>0</v>
      </c>
      <c r="I39" s="30" t="e">
        <f>H39/$B$12</f>
        <v>#DIV/0!</v>
      </c>
      <c r="J39" s="21">
        <f t="shared" ref="J39:J53" si="21">J18</f>
        <v>0</v>
      </c>
      <c r="K39" s="30" t="e">
        <f>J39/$B$12</f>
        <v>#DIV/0!</v>
      </c>
      <c r="L39" s="21">
        <f t="shared" ref="L39:L53" si="22">L18</f>
        <v>0</v>
      </c>
      <c r="M39" s="59" t="e">
        <f>L39/$B$12</f>
        <v>#DIV/0!</v>
      </c>
      <c r="N39" s="21">
        <f t="shared" ref="N39:N53" si="23">N18</f>
        <v>0</v>
      </c>
      <c r="O39" s="59" t="e">
        <f>N39/$B$12</f>
        <v>#DIV/0!</v>
      </c>
      <c r="P39" s="21">
        <f t="shared" ref="P39:P53" si="24">P18</f>
        <v>0</v>
      </c>
      <c r="Q39" s="59" t="e">
        <f>P39/$B$12</f>
        <v>#DIV/0!</v>
      </c>
      <c r="R39" s="21">
        <f t="shared" ref="R39:R53" si="25">R18</f>
        <v>0</v>
      </c>
      <c r="S39" s="59" t="e">
        <f>R39/$B$12</f>
        <v>#DIV/0!</v>
      </c>
      <c r="T39" s="21">
        <f t="shared" ref="T39:T53" si="26">T18</f>
        <v>0</v>
      </c>
      <c r="U39" s="59" t="e">
        <f>T39/$B$12</f>
        <v>#DIV/0!</v>
      </c>
      <c r="V39" s="21">
        <f t="shared" ref="V39:V53" si="27">V18</f>
        <v>0</v>
      </c>
      <c r="W39" s="59" t="e">
        <f>V39/$B$12</f>
        <v>#DIV/0!</v>
      </c>
      <c r="X39" s="21">
        <f t="shared" ref="X39:X53" si="28">X18</f>
        <v>0</v>
      </c>
      <c r="Y39" s="59" t="e">
        <f>X39/$B$12</f>
        <v>#DIV/0!</v>
      </c>
      <c r="Z39" s="21">
        <f t="shared" ref="Z39:Z53" si="29">Z18</f>
        <v>0</v>
      </c>
      <c r="AA39" s="59" t="e">
        <f>Z39/$B$12</f>
        <v>#DIV/0!</v>
      </c>
      <c r="AB39" s="21">
        <f t="shared" ref="AB39:AB53" si="30">AB18</f>
        <v>0</v>
      </c>
      <c r="AC39" s="59" t="e">
        <f>AB39/$B$12</f>
        <v>#DIV/0!</v>
      </c>
      <c r="AD39" s="22" t="e">
        <f t="shared" ref="AD39:AD54" si="31">AVERAGE(G39,I39,K39,M39,O39,Q39,S39,U39,W39,Y39,AA39,AC39)</f>
        <v>#DIV/0!</v>
      </c>
      <c r="AE39" s="23">
        <f t="shared" ref="AE39:AE54" si="32">F39+H39+J39+L39+N39+P39+R39+T39+V39+X39+Z39+AB39</f>
        <v>0</v>
      </c>
      <c r="AF39" s="23">
        <f t="shared" ref="AF39:AF42" si="33">AE39*$B$8</f>
        <v>0</v>
      </c>
      <c r="AG39" s="45">
        <f t="shared" ref="AG39:AG42" si="34">AE39+AF39</f>
        <v>0</v>
      </c>
    </row>
    <row r="40" spans="1:33" s="6" customFormat="1" ht="18" customHeight="1" x14ac:dyDescent="0.15">
      <c r="A40" s="50">
        <f t="shared" ref="A40:F53" si="35">A19</f>
        <v>0</v>
      </c>
      <c r="B40" s="32">
        <f t="shared" si="35"/>
        <v>0</v>
      </c>
      <c r="C40" s="32">
        <f t="shared" si="35"/>
        <v>0</v>
      </c>
      <c r="D40" s="31">
        <f t="shared" si="35"/>
        <v>0</v>
      </c>
      <c r="E40" s="33">
        <f t="shared" si="35"/>
        <v>0</v>
      </c>
      <c r="F40" s="21">
        <f t="shared" si="35"/>
        <v>0</v>
      </c>
      <c r="G40" s="30" t="e">
        <f t="shared" ref="G40:G53" si="36">F40/$B$12</f>
        <v>#DIV/0!</v>
      </c>
      <c r="H40" s="21">
        <f t="shared" si="20"/>
        <v>0</v>
      </c>
      <c r="I40" s="30" t="e">
        <f t="shared" ref="I40:I53" si="37">H40/$B$12</f>
        <v>#DIV/0!</v>
      </c>
      <c r="J40" s="21">
        <f t="shared" si="21"/>
        <v>0</v>
      </c>
      <c r="K40" s="30" t="e">
        <f t="shared" ref="K40:K53" si="38">J40/$B$12</f>
        <v>#DIV/0!</v>
      </c>
      <c r="L40" s="21">
        <f t="shared" si="22"/>
        <v>0</v>
      </c>
      <c r="M40" s="30" t="e">
        <f t="shared" ref="M40:M53" si="39">L40/$B$12</f>
        <v>#DIV/0!</v>
      </c>
      <c r="N40" s="21">
        <f t="shared" si="23"/>
        <v>0</v>
      </c>
      <c r="O40" s="59" t="e">
        <f t="shared" ref="O40:O53" si="40">N40/$B$12</f>
        <v>#DIV/0!</v>
      </c>
      <c r="P40" s="21">
        <f t="shared" si="24"/>
        <v>0</v>
      </c>
      <c r="Q40" s="59" t="e">
        <f t="shared" ref="Q40:Q53" si="41">P40/$B$12</f>
        <v>#DIV/0!</v>
      </c>
      <c r="R40" s="21">
        <f t="shared" si="25"/>
        <v>0</v>
      </c>
      <c r="S40" s="59" t="e">
        <f t="shared" ref="S40:S53" si="42">R40/$B$12</f>
        <v>#DIV/0!</v>
      </c>
      <c r="T40" s="21">
        <f t="shared" si="26"/>
        <v>0</v>
      </c>
      <c r="U40" s="59" t="e">
        <f t="shared" ref="U40:U53" si="43">T40/$B$12</f>
        <v>#DIV/0!</v>
      </c>
      <c r="V40" s="21">
        <f t="shared" si="27"/>
        <v>0</v>
      </c>
      <c r="W40" s="59" t="e">
        <f t="shared" ref="W40:W53" si="44">V40/$B$12</f>
        <v>#DIV/0!</v>
      </c>
      <c r="X40" s="21">
        <f t="shared" si="28"/>
        <v>0</v>
      </c>
      <c r="Y40" s="59" t="e">
        <f t="shared" ref="Y40:Y53" si="45">X40/$B$12</f>
        <v>#DIV/0!</v>
      </c>
      <c r="Z40" s="21">
        <f t="shared" si="29"/>
        <v>0</v>
      </c>
      <c r="AA40" s="59" t="e">
        <f t="shared" ref="AA40:AA53" si="46">Z40/$B$12</f>
        <v>#DIV/0!</v>
      </c>
      <c r="AB40" s="21">
        <f t="shared" si="30"/>
        <v>0</v>
      </c>
      <c r="AC40" s="59" t="e">
        <f t="shared" ref="AC40:AC53" si="47">AB40/$B$12</f>
        <v>#DIV/0!</v>
      </c>
      <c r="AD40" s="22" t="e">
        <f t="shared" si="31"/>
        <v>#DIV/0!</v>
      </c>
      <c r="AE40" s="23">
        <f t="shared" si="32"/>
        <v>0</v>
      </c>
      <c r="AF40" s="23">
        <f t="shared" si="33"/>
        <v>0</v>
      </c>
      <c r="AG40" s="45">
        <f t="shared" si="34"/>
        <v>0</v>
      </c>
    </row>
    <row r="41" spans="1:33" s="6" customFormat="1" ht="18" customHeight="1" x14ac:dyDescent="0.15">
      <c r="A41" s="50">
        <f t="shared" si="35"/>
        <v>0</v>
      </c>
      <c r="B41" s="32">
        <f t="shared" si="35"/>
        <v>0</v>
      </c>
      <c r="C41" s="32">
        <f t="shared" si="35"/>
        <v>0</v>
      </c>
      <c r="D41" s="31">
        <f t="shared" si="35"/>
        <v>0</v>
      </c>
      <c r="E41" s="33">
        <f t="shared" si="35"/>
        <v>0</v>
      </c>
      <c r="F41" s="21">
        <f t="shared" si="35"/>
        <v>0</v>
      </c>
      <c r="G41" s="30" t="e">
        <f t="shared" si="36"/>
        <v>#DIV/0!</v>
      </c>
      <c r="H41" s="21">
        <f t="shared" si="20"/>
        <v>0</v>
      </c>
      <c r="I41" s="30" t="e">
        <f t="shared" si="37"/>
        <v>#DIV/0!</v>
      </c>
      <c r="J41" s="21">
        <f t="shared" si="21"/>
        <v>0</v>
      </c>
      <c r="K41" s="30" t="e">
        <f t="shared" si="38"/>
        <v>#DIV/0!</v>
      </c>
      <c r="L41" s="21">
        <f t="shared" si="22"/>
        <v>0</v>
      </c>
      <c r="M41" s="30" t="e">
        <f t="shared" si="39"/>
        <v>#DIV/0!</v>
      </c>
      <c r="N41" s="21">
        <f t="shared" si="23"/>
        <v>0</v>
      </c>
      <c r="O41" s="59" t="e">
        <f t="shared" si="40"/>
        <v>#DIV/0!</v>
      </c>
      <c r="P41" s="21">
        <f t="shared" si="24"/>
        <v>0</v>
      </c>
      <c r="Q41" s="59" t="e">
        <f t="shared" si="41"/>
        <v>#DIV/0!</v>
      </c>
      <c r="R41" s="21">
        <f t="shared" si="25"/>
        <v>0</v>
      </c>
      <c r="S41" s="59" t="e">
        <f t="shared" si="42"/>
        <v>#DIV/0!</v>
      </c>
      <c r="T41" s="21">
        <f t="shared" si="26"/>
        <v>0</v>
      </c>
      <c r="U41" s="59" t="e">
        <f t="shared" si="43"/>
        <v>#DIV/0!</v>
      </c>
      <c r="V41" s="21">
        <f t="shared" si="27"/>
        <v>0</v>
      </c>
      <c r="W41" s="59" t="e">
        <f t="shared" si="44"/>
        <v>#DIV/0!</v>
      </c>
      <c r="X41" s="21">
        <f t="shared" si="28"/>
        <v>0</v>
      </c>
      <c r="Y41" s="59" t="e">
        <f t="shared" si="45"/>
        <v>#DIV/0!</v>
      </c>
      <c r="Z41" s="21">
        <f t="shared" si="29"/>
        <v>0</v>
      </c>
      <c r="AA41" s="59" t="e">
        <f t="shared" si="46"/>
        <v>#DIV/0!</v>
      </c>
      <c r="AB41" s="21">
        <f t="shared" si="30"/>
        <v>0</v>
      </c>
      <c r="AC41" s="59" t="e">
        <f t="shared" si="47"/>
        <v>#DIV/0!</v>
      </c>
      <c r="AD41" s="22" t="e">
        <f t="shared" si="31"/>
        <v>#DIV/0!</v>
      </c>
      <c r="AE41" s="23">
        <f t="shared" si="32"/>
        <v>0</v>
      </c>
      <c r="AF41" s="23">
        <f t="shared" si="33"/>
        <v>0</v>
      </c>
      <c r="AG41" s="45">
        <f t="shared" si="34"/>
        <v>0</v>
      </c>
    </row>
    <row r="42" spans="1:33" s="6" customFormat="1" ht="18" customHeight="1" x14ac:dyDescent="0.15">
      <c r="A42" s="50">
        <f t="shared" si="35"/>
        <v>0</v>
      </c>
      <c r="B42" s="32">
        <f t="shared" si="35"/>
        <v>0</v>
      </c>
      <c r="C42" s="32">
        <f t="shared" si="35"/>
        <v>0</v>
      </c>
      <c r="D42" s="31">
        <f t="shared" si="35"/>
        <v>0</v>
      </c>
      <c r="E42" s="33">
        <f t="shared" si="35"/>
        <v>0</v>
      </c>
      <c r="F42" s="21">
        <f t="shared" si="35"/>
        <v>0</v>
      </c>
      <c r="G42" s="30" t="e">
        <f t="shared" si="36"/>
        <v>#DIV/0!</v>
      </c>
      <c r="H42" s="21">
        <f t="shared" si="20"/>
        <v>0</v>
      </c>
      <c r="I42" s="30" t="e">
        <f t="shared" si="37"/>
        <v>#DIV/0!</v>
      </c>
      <c r="J42" s="21">
        <f t="shared" si="21"/>
        <v>0</v>
      </c>
      <c r="K42" s="30" t="e">
        <f t="shared" si="38"/>
        <v>#DIV/0!</v>
      </c>
      <c r="L42" s="21">
        <f t="shared" si="22"/>
        <v>0</v>
      </c>
      <c r="M42" s="30" t="e">
        <f t="shared" si="39"/>
        <v>#DIV/0!</v>
      </c>
      <c r="N42" s="21">
        <f t="shared" si="23"/>
        <v>0</v>
      </c>
      <c r="O42" s="59" t="e">
        <f t="shared" si="40"/>
        <v>#DIV/0!</v>
      </c>
      <c r="P42" s="21">
        <f t="shared" si="24"/>
        <v>0</v>
      </c>
      <c r="Q42" s="59" t="e">
        <f t="shared" si="41"/>
        <v>#DIV/0!</v>
      </c>
      <c r="R42" s="21">
        <f t="shared" si="25"/>
        <v>0</v>
      </c>
      <c r="S42" s="59" t="e">
        <f t="shared" si="42"/>
        <v>#DIV/0!</v>
      </c>
      <c r="T42" s="21">
        <f t="shared" si="26"/>
        <v>0</v>
      </c>
      <c r="U42" s="59" t="e">
        <f t="shared" si="43"/>
        <v>#DIV/0!</v>
      </c>
      <c r="V42" s="21">
        <f t="shared" si="27"/>
        <v>0</v>
      </c>
      <c r="W42" s="59" t="e">
        <f t="shared" si="44"/>
        <v>#DIV/0!</v>
      </c>
      <c r="X42" s="21">
        <f t="shared" si="28"/>
        <v>0</v>
      </c>
      <c r="Y42" s="59" t="e">
        <f t="shared" si="45"/>
        <v>#DIV/0!</v>
      </c>
      <c r="Z42" s="21">
        <f t="shared" si="29"/>
        <v>0</v>
      </c>
      <c r="AA42" s="59" t="e">
        <f t="shared" si="46"/>
        <v>#DIV/0!</v>
      </c>
      <c r="AB42" s="21">
        <f t="shared" si="30"/>
        <v>0</v>
      </c>
      <c r="AC42" s="59" t="e">
        <f t="shared" si="47"/>
        <v>#DIV/0!</v>
      </c>
      <c r="AD42" s="22" t="e">
        <f t="shared" si="31"/>
        <v>#DIV/0!</v>
      </c>
      <c r="AE42" s="23">
        <f t="shared" si="32"/>
        <v>0</v>
      </c>
      <c r="AF42" s="23">
        <f t="shared" si="33"/>
        <v>0</v>
      </c>
      <c r="AG42" s="45">
        <f t="shared" si="34"/>
        <v>0</v>
      </c>
    </row>
    <row r="43" spans="1:33" s="6" customFormat="1" ht="18" customHeight="1" x14ac:dyDescent="0.15">
      <c r="A43" s="50">
        <f t="shared" si="35"/>
        <v>0</v>
      </c>
      <c r="B43" s="32">
        <f t="shared" si="35"/>
        <v>0</v>
      </c>
      <c r="C43" s="32">
        <f t="shared" si="35"/>
        <v>0</v>
      </c>
      <c r="D43" s="31">
        <f t="shared" si="35"/>
        <v>0</v>
      </c>
      <c r="E43" s="33">
        <f t="shared" si="35"/>
        <v>0</v>
      </c>
      <c r="F43" s="21">
        <f t="shared" si="35"/>
        <v>0</v>
      </c>
      <c r="G43" s="30" t="e">
        <f t="shared" si="36"/>
        <v>#DIV/0!</v>
      </c>
      <c r="H43" s="21">
        <f t="shared" si="20"/>
        <v>0</v>
      </c>
      <c r="I43" s="30" t="e">
        <f t="shared" si="37"/>
        <v>#DIV/0!</v>
      </c>
      <c r="J43" s="21">
        <f t="shared" si="21"/>
        <v>0</v>
      </c>
      <c r="K43" s="30" t="e">
        <f t="shared" si="38"/>
        <v>#DIV/0!</v>
      </c>
      <c r="L43" s="21">
        <f t="shared" si="22"/>
        <v>0</v>
      </c>
      <c r="M43" s="30" t="e">
        <f t="shared" si="39"/>
        <v>#DIV/0!</v>
      </c>
      <c r="N43" s="21">
        <f t="shared" si="23"/>
        <v>0</v>
      </c>
      <c r="O43" s="59" t="e">
        <f t="shared" si="40"/>
        <v>#DIV/0!</v>
      </c>
      <c r="P43" s="21">
        <f t="shared" si="24"/>
        <v>0</v>
      </c>
      <c r="Q43" s="59" t="e">
        <f t="shared" si="41"/>
        <v>#DIV/0!</v>
      </c>
      <c r="R43" s="21">
        <f t="shared" si="25"/>
        <v>0</v>
      </c>
      <c r="S43" s="59" t="e">
        <f t="shared" si="42"/>
        <v>#DIV/0!</v>
      </c>
      <c r="T43" s="21">
        <f t="shared" si="26"/>
        <v>0</v>
      </c>
      <c r="U43" s="59" t="e">
        <f t="shared" si="43"/>
        <v>#DIV/0!</v>
      </c>
      <c r="V43" s="21">
        <f t="shared" si="27"/>
        <v>0</v>
      </c>
      <c r="W43" s="59" t="e">
        <f t="shared" si="44"/>
        <v>#DIV/0!</v>
      </c>
      <c r="X43" s="21">
        <f t="shared" si="28"/>
        <v>0</v>
      </c>
      <c r="Y43" s="59" t="e">
        <f t="shared" si="45"/>
        <v>#DIV/0!</v>
      </c>
      <c r="Z43" s="21">
        <f t="shared" si="29"/>
        <v>0</v>
      </c>
      <c r="AA43" s="59" t="e">
        <f t="shared" si="46"/>
        <v>#DIV/0!</v>
      </c>
      <c r="AB43" s="21">
        <f t="shared" si="30"/>
        <v>0</v>
      </c>
      <c r="AC43" s="59" t="e">
        <f t="shared" si="47"/>
        <v>#DIV/0!</v>
      </c>
      <c r="AD43" s="22" t="e">
        <f t="shared" si="31"/>
        <v>#DIV/0!</v>
      </c>
      <c r="AE43" s="23">
        <f t="shared" si="32"/>
        <v>0</v>
      </c>
      <c r="AF43" s="23">
        <f>AE43*$B$8</f>
        <v>0</v>
      </c>
      <c r="AG43" s="45">
        <f>AE43+AF43</f>
        <v>0</v>
      </c>
    </row>
    <row r="44" spans="1:33" s="6" customFormat="1" ht="18" customHeight="1" x14ac:dyDescent="0.15">
      <c r="A44" s="50">
        <f t="shared" si="35"/>
        <v>0</v>
      </c>
      <c r="B44" s="32">
        <f t="shared" si="35"/>
        <v>0</v>
      </c>
      <c r="C44" s="32">
        <f t="shared" si="35"/>
        <v>0</v>
      </c>
      <c r="D44" s="31">
        <f t="shared" si="35"/>
        <v>0</v>
      </c>
      <c r="E44" s="33">
        <f t="shared" si="35"/>
        <v>0</v>
      </c>
      <c r="F44" s="21">
        <f t="shared" si="35"/>
        <v>0</v>
      </c>
      <c r="G44" s="30" t="e">
        <f t="shared" si="36"/>
        <v>#DIV/0!</v>
      </c>
      <c r="H44" s="21">
        <f t="shared" si="20"/>
        <v>0</v>
      </c>
      <c r="I44" s="30" t="e">
        <f t="shared" si="37"/>
        <v>#DIV/0!</v>
      </c>
      <c r="J44" s="21">
        <f t="shared" si="21"/>
        <v>0</v>
      </c>
      <c r="K44" s="30" t="e">
        <f t="shared" si="38"/>
        <v>#DIV/0!</v>
      </c>
      <c r="L44" s="21">
        <f t="shared" si="22"/>
        <v>0</v>
      </c>
      <c r="M44" s="30" t="e">
        <f t="shared" si="39"/>
        <v>#DIV/0!</v>
      </c>
      <c r="N44" s="21">
        <f t="shared" si="23"/>
        <v>0</v>
      </c>
      <c r="O44" s="59" t="e">
        <f t="shared" si="40"/>
        <v>#DIV/0!</v>
      </c>
      <c r="P44" s="21">
        <f t="shared" si="24"/>
        <v>0</v>
      </c>
      <c r="Q44" s="59" t="e">
        <f t="shared" si="41"/>
        <v>#DIV/0!</v>
      </c>
      <c r="R44" s="21">
        <f t="shared" si="25"/>
        <v>0</v>
      </c>
      <c r="S44" s="59" t="e">
        <f t="shared" si="42"/>
        <v>#DIV/0!</v>
      </c>
      <c r="T44" s="21">
        <f t="shared" si="26"/>
        <v>0</v>
      </c>
      <c r="U44" s="59" t="e">
        <f t="shared" si="43"/>
        <v>#DIV/0!</v>
      </c>
      <c r="V44" s="21">
        <f t="shared" si="27"/>
        <v>0</v>
      </c>
      <c r="W44" s="59" t="e">
        <f t="shared" si="44"/>
        <v>#DIV/0!</v>
      </c>
      <c r="X44" s="21">
        <f t="shared" si="28"/>
        <v>0</v>
      </c>
      <c r="Y44" s="59" t="e">
        <f t="shared" si="45"/>
        <v>#DIV/0!</v>
      </c>
      <c r="Z44" s="21">
        <f t="shared" si="29"/>
        <v>0</v>
      </c>
      <c r="AA44" s="59" t="e">
        <f t="shared" si="46"/>
        <v>#DIV/0!</v>
      </c>
      <c r="AB44" s="21">
        <f t="shared" si="30"/>
        <v>0</v>
      </c>
      <c r="AC44" s="59" t="e">
        <f t="shared" si="47"/>
        <v>#DIV/0!</v>
      </c>
      <c r="AD44" s="22" t="e">
        <f t="shared" si="31"/>
        <v>#DIV/0!</v>
      </c>
      <c r="AE44" s="23">
        <f t="shared" si="32"/>
        <v>0</v>
      </c>
      <c r="AF44" s="23">
        <f t="shared" ref="AF44:AF54" si="48">AE44*$B$8</f>
        <v>0</v>
      </c>
      <c r="AG44" s="45">
        <f t="shared" ref="AG44:AG54" si="49">AE44+AF44</f>
        <v>0</v>
      </c>
    </row>
    <row r="45" spans="1:33" s="6" customFormat="1" ht="18" customHeight="1" x14ac:dyDescent="0.15">
      <c r="A45" s="50">
        <f t="shared" si="35"/>
        <v>0</v>
      </c>
      <c r="B45" s="32">
        <f t="shared" si="35"/>
        <v>0</v>
      </c>
      <c r="C45" s="32">
        <f t="shared" si="35"/>
        <v>0</v>
      </c>
      <c r="D45" s="31">
        <f t="shared" si="35"/>
        <v>0</v>
      </c>
      <c r="E45" s="33">
        <f t="shared" si="35"/>
        <v>0</v>
      </c>
      <c r="F45" s="21">
        <f t="shared" si="35"/>
        <v>0</v>
      </c>
      <c r="G45" s="30" t="e">
        <f t="shared" si="36"/>
        <v>#DIV/0!</v>
      </c>
      <c r="H45" s="21">
        <f t="shared" si="20"/>
        <v>0</v>
      </c>
      <c r="I45" s="30" t="e">
        <f t="shared" si="37"/>
        <v>#DIV/0!</v>
      </c>
      <c r="J45" s="21">
        <f t="shared" si="21"/>
        <v>0</v>
      </c>
      <c r="K45" s="30" t="e">
        <f t="shared" si="38"/>
        <v>#DIV/0!</v>
      </c>
      <c r="L45" s="21">
        <f t="shared" si="22"/>
        <v>0</v>
      </c>
      <c r="M45" s="30" t="e">
        <f t="shared" si="39"/>
        <v>#DIV/0!</v>
      </c>
      <c r="N45" s="21">
        <f t="shared" si="23"/>
        <v>0</v>
      </c>
      <c r="O45" s="59" t="e">
        <f t="shared" si="40"/>
        <v>#DIV/0!</v>
      </c>
      <c r="P45" s="21">
        <f t="shared" si="24"/>
        <v>0</v>
      </c>
      <c r="Q45" s="59" t="e">
        <f t="shared" si="41"/>
        <v>#DIV/0!</v>
      </c>
      <c r="R45" s="21">
        <f t="shared" si="25"/>
        <v>0</v>
      </c>
      <c r="S45" s="59" t="e">
        <f t="shared" si="42"/>
        <v>#DIV/0!</v>
      </c>
      <c r="T45" s="21">
        <f t="shared" si="26"/>
        <v>0</v>
      </c>
      <c r="U45" s="59" t="e">
        <f t="shared" si="43"/>
        <v>#DIV/0!</v>
      </c>
      <c r="V45" s="21">
        <f t="shared" si="27"/>
        <v>0</v>
      </c>
      <c r="W45" s="59" t="e">
        <f t="shared" si="44"/>
        <v>#DIV/0!</v>
      </c>
      <c r="X45" s="21">
        <f t="shared" si="28"/>
        <v>0</v>
      </c>
      <c r="Y45" s="59" t="e">
        <f t="shared" si="45"/>
        <v>#DIV/0!</v>
      </c>
      <c r="Z45" s="21">
        <f t="shared" si="29"/>
        <v>0</v>
      </c>
      <c r="AA45" s="59" t="e">
        <f t="shared" si="46"/>
        <v>#DIV/0!</v>
      </c>
      <c r="AB45" s="21">
        <f t="shared" si="30"/>
        <v>0</v>
      </c>
      <c r="AC45" s="59" t="e">
        <f t="shared" si="47"/>
        <v>#DIV/0!</v>
      </c>
      <c r="AD45" s="22" t="e">
        <f t="shared" si="31"/>
        <v>#DIV/0!</v>
      </c>
      <c r="AE45" s="23">
        <f t="shared" si="32"/>
        <v>0</v>
      </c>
      <c r="AF45" s="23">
        <f t="shared" si="48"/>
        <v>0</v>
      </c>
      <c r="AG45" s="45">
        <f t="shared" si="49"/>
        <v>0</v>
      </c>
    </row>
    <row r="46" spans="1:33" s="6" customFormat="1" ht="18" customHeight="1" x14ac:dyDescent="0.15">
      <c r="A46" s="50">
        <f t="shared" si="35"/>
        <v>0</v>
      </c>
      <c r="B46" s="32">
        <f t="shared" si="35"/>
        <v>0</v>
      </c>
      <c r="C46" s="32">
        <f t="shared" si="35"/>
        <v>0</v>
      </c>
      <c r="D46" s="31">
        <f t="shared" si="35"/>
        <v>0</v>
      </c>
      <c r="E46" s="33">
        <f t="shared" si="35"/>
        <v>0</v>
      </c>
      <c r="F46" s="21">
        <f t="shared" si="35"/>
        <v>0</v>
      </c>
      <c r="G46" s="30" t="e">
        <f t="shared" si="36"/>
        <v>#DIV/0!</v>
      </c>
      <c r="H46" s="21">
        <f t="shared" si="20"/>
        <v>0</v>
      </c>
      <c r="I46" s="30" t="e">
        <f t="shared" si="37"/>
        <v>#DIV/0!</v>
      </c>
      <c r="J46" s="21">
        <f t="shared" si="21"/>
        <v>0</v>
      </c>
      <c r="K46" s="30" t="e">
        <f t="shared" si="38"/>
        <v>#DIV/0!</v>
      </c>
      <c r="L46" s="21">
        <f t="shared" si="22"/>
        <v>0</v>
      </c>
      <c r="M46" s="30" t="e">
        <f t="shared" si="39"/>
        <v>#DIV/0!</v>
      </c>
      <c r="N46" s="21">
        <f t="shared" si="23"/>
        <v>0</v>
      </c>
      <c r="O46" s="59" t="e">
        <f t="shared" si="40"/>
        <v>#DIV/0!</v>
      </c>
      <c r="P46" s="21">
        <f t="shared" si="24"/>
        <v>0</v>
      </c>
      <c r="Q46" s="59" t="e">
        <f t="shared" si="41"/>
        <v>#DIV/0!</v>
      </c>
      <c r="R46" s="21">
        <f t="shared" si="25"/>
        <v>0</v>
      </c>
      <c r="S46" s="59" t="e">
        <f t="shared" si="42"/>
        <v>#DIV/0!</v>
      </c>
      <c r="T46" s="21">
        <f t="shared" si="26"/>
        <v>0</v>
      </c>
      <c r="U46" s="59" t="e">
        <f t="shared" si="43"/>
        <v>#DIV/0!</v>
      </c>
      <c r="V46" s="21">
        <f t="shared" si="27"/>
        <v>0</v>
      </c>
      <c r="W46" s="59" t="e">
        <f t="shared" si="44"/>
        <v>#DIV/0!</v>
      </c>
      <c r="X46" s="21">
        <f t="shared" si="28"/>
        <v>0</v>
      </c>
      <c r="Y46" s="59" t="e">
        <f t="shared" si="45"/>
        <v>#DIV/0!</v>
      </c>
      <c r="Z46" s="21">
        <f t="shared" si="29"/>
        <v>0</v>
      </c>
      <c r="AA46" s="59" t="e">
        <f t="shared" si="46"/>
        <v>#DIV/0!</v>
      </c>
      <c r="AB46" s="21">
        <f t="shared" si="30"/>
        <v>0</v>
      </c>
      <c r="AC46" s="59" t="e">
        <f t="shared" si="47"/>
        <v>#DIV/0!</v>
      </c>
      <c r="AD46" s="22" t="e">
        <f t="shared" si="31"/>
        <v>#DIV/0!</v>
      </c>
      <c r="AE46" s="23">
        <f t="shared" si="32"/>
        <v>0</v>
      </c>
      <c r="AF46" s="23">
        <f t="shared" si="48"/>
        <v>0</v>
      </c>
      <c r="AG46" s="45">
        <f t="shared" si="49"/>
        <v>0</v>
      </c>
    </row>
    <row r="47" spans="1:33" s="6" customFormat="1" ht="18" customHeight="1" x14ac:dyDescent="0.15">
      <c r="A47" s="50">
        <f t="shared" si="35"/>
        <v>0</v>
      </c>
      <c r="B47" s="32">
        <f t="shared" si="35"/>
        <v>0</v>
      </c>
      <c r="C47" s="32">
        <f t="shared" si="35"/>
        <v>0</v>
      </c>
      <c r="D47" s="31">
        <f t="shared" si="35"/>
        <v>0</v>
      </c>
      <c r="E47" s="33">
        <f t="shared" si="35"/>
        <v>0</v>
      </c>
      <c r="F47" s="21">
        <f t="shared" si="35"/>
        <v>0</v>
      </c>
      <c r="G47" s="30" t="e">
        <f t="shared" si="36"/>
        <v>#DIV/0!</v>
      </c>
      <c r="H47" s="21">
        <f t="shared" si="20"/>
        <v>0</v>
      </c>
      <c r="I47" s="30" t="e">
        <f t="shared" si="37"/>
        <v>#DIV/0!</v>
      </c>
      <c r="J47" s="21">
        <f t="shared" si="21"/>
        <v>0</v>
      </c>
      <c r="K47" s="30" t="e">
        <f t="shared" si="38"/>
        <v>#DIV/0!</v>
      </c>
      <c r="L47" s="21">
        <f t="shared" si="22"/>
        <v>0</v>
      </c>
      <c r="M47" s="30" t="e">
        <f t="shared" si="39"/>
        <v>#DIV/0!</v>
      </c>
      <c r="N47" s="21">
        <f t="shared" si="23"/>
        <v>0</v>
      </c>
      <c r="O47" s="59" t="e">
        <f t="shared" si="40"/>
        <v>#DIV/0!</v>
      </c>
      <c r="P47" s="21">
        <f t="shared" si="24"/>
        <v>0</v>
      </c>
      <c r="Q47" s="59" t="e">
        <f t="shared" si="41"/>
        <v>#DIV/0!</v>
      </c>
      <c r="R47" s="21">
        <f t="shared" si="25"/>
        <v>0</v>
      </c>
      <c r="S47" s="59" t="e">
        <f t="shared" si="42"/>
        <v>#DIV/0!</v>
      </c>
      <c r="T47" s="21">
        <f t="shared" si="26"/>
        <v>0</v>
      </c>
      <c r="U47" s="59" t="e">
        <f t="shared" si="43"/>
        <v>#DIV/0!</v>
      </c>
      <c r="V47" s="21">
        <f t="shared" si="27"/>
        <v>0</v>
      </c>
      <c r="W47" s="59" t="e">
        <f t="shared" si="44"/>
        <v>#DIV/0!</v>
      </c>
      <c r="X47" s="21">
        <f t="shared" si="28"/>
        <v>0</v>
      </c>
      <c r="Y47" s="59" t="e">
        <f t="shared" si="45"/>
        <v>#DIV/0!</v>
      </c>
      <c r="Z47" s="21">
        <f t="shared" si="29"/>
        <v>0</v>
      </c>
      <c r="AA47" s="59" t="e">
        <f t="shared" si="46"/>
        <v>#DIV/0!</v>
      </c>
      <c r="AB47" s="21">
        <f t="shared" si="30"/>
        <v>0</v>
      </c>
      <c r="AC47" s="59" t="e">
        <f t="shared" si="47"/>
        <v>#DIV/0!</v>
      </c>
      <c r="AD47" s="22" t="e">
        <f t="shared" si="31"/>
        <v>#DIV/0!</v>
      </c>
      <c r="AE47" s="23">
        <f t="shared" si="32"/>
        <v>0</v>
      </c>
      <c r="AF47" s="23">
        <f t="shared" si="48"/>
        <v>0</v>
      </c>
      <c r="AG47" s="45">
        <f t="shared" si="49"/>
        <v>0</v>
      </c>
    </row>
    <row r="48" spans="1:33" s="6" customFormat="1" ht="18" customHeight="1" x14ac:dyDescent="0.15">
      <c r="A48" s="50">
        <f t="shared" si="35"/>
        <v>0</v>
      </c>
      <c r="B48" s="32">
        <f t="shared" si="35"/>
        <v>0</v>
      </c>
      <c r="C48" s="32">
        <f t="shared" si="35"/>
        <v>0</v>
      </c>
      <c r="D48" s="31">
        <f t="shared" si="35"/>
        <v>0</v>
      </c>
      <c r="E48" s="33">
        <f t="shared" si="35"/>
        <v>0</v>
      </c>
      <c r="F48" s="21">
        <f t="shared" si="35"/>
        <v>0</v>
      </c>
      <c r="G48" s="30" t="e">
        <f t="shared" si="36"/>
        <v>#DIV/0!</v>
      </c>
      <c r="H48" s="21">
        <f t="shared" si="20"/>
        <v>0</v>
      </c>
      <c r="I48" s="30" t="e">
        <f t="shared" si="37"/>
        <v>#DIV/0!</v>
      </c>
      <c r="J48" s="21">
        <f t="shared" si="21"/>
        <v>0</v>
      </c>
      <c r="K48" s="30" t="e">
        <f t="shared" si="38"/>
        <v>#DIV/0!</v>
      </c>
      <c r="L48" s="21">
        <f t="shared" si="22"/>
        <v>0</v>
      </c>
      <c r="M48" s="30" t="e">
        <f t="shared" si="39"/>
        <v>#DIV/0!</v>
      </c>
      <c r="N48" s="21">
        <f t="shared" si="23"/>
        <v>0</v>
      </c>
      <c r="O48" s="59" t="e">
        <f t="shared" si="40"/>
        <v>#DIV/0!</v>
      </c>
      <c r="P48" s="21">
        <f t="shared" si="24"/>
        <v>0</v>
      </c>
      <c r="Q48" s="59" t="e">
        <f t="shared" si="41"/>
        <v>#DIV/0!</v>
      </c>
      <c r="R48" s="21">
        <f t="shared" si="25"/>
        <v>0</v>
      </c>
      <c r="S48" s="59" t="e">
        <f t="shared" si="42"/>
        <v>#DIV/0!</v>
      </c>
      <c r="T48" s="21">
        <f t="shared" si="26"/>
        <v>0</v>
      </c>
      <c r="U48" s="59" t="e">
        <f t="shared" si="43"/>
        <v>#DIV/0!</v>
      </c>
      <c r="V48" s="21">
        <f t="shared" si="27"/>
        <v>0</v>
      </c>
      <c r="W48" s="59" t="e">
        <f t="shared" si="44"/>
        <v>#DIV/0!</v>
      </c>
      <c r="X48" s="21">
        <f t="shared" si="28"/>
        <v>0</v>
      </c>
      <c r="Y48" s="59" t="e">
        <f t="shared" si="45"/>
        <v>#DIV/0!</v>
      </c>
      <c r="Z48" s="21">
        <f t="shared" si="29"/>
        <v>0</v>
      </c>
      <c r="AA48" s="59" t="e">
        <f t="shared" si="46"/>
        <v>#DIV/0!</v>
      </c>
      <c r="AB48" s="21">
        <f t="shared" si="30"/>
        <v>0</v>
      </c>
      <c r="AC48" s="59" t="e">
        <f t="shared" si="47"/>
        <v>#DIV/0!</v>
      </c>
      <c r="AD48" s="22" t="e">
        <f t="shared" si="31"/>
        <v>#DIV/0!</v>
      </c>
      <c r="AE48" s="23">
        <f t="shared" si="32"/>
        <v>0</v>
      </c>
      <c r="AF48" s="23">
        <f t="shared" si="48"/>
        <v>0</v>
      </c>
      <c r="AG48" s="45">
        <f t="shared" si="49"/>
        <v>0</v>
      </c>
    </row>
    <row r="49" spans="1:33" s="6" customFormat="1" ht="18" customHeight="1" x14ac:dyDescent="0.15">
      <c r="A49" s="50">
        <f t="shared" si="35"/>
        <v>0</v>
      </c>
      <c r="B49" s="32">
        <f t="shared" si="35"/>
        <v>0</v>
      </c>
      <c r="C49" s="32">
        <f t="shared" si="35"/>
        <v>0</v>
      </c>
      <c r="D49" s="31">
        <f t="shared" si="35"/>
        <v>0</v>
      </c>
      <c r="E49" s="33">
        <f t="shared" si="35"/>
        <v>0</v>
      </c>
      <c r="F49" s="21">
        <f t="shared" si="35"/>
        <v>0</v>
      </c>
      <c r="G49" s="30" t="e">
        <f t="shared" si="36"/>
        <v>#DIV/0!</v>
      </c>
      <c r="H49" s="21">
        <f t="shared" si="20"/>
        <v>0</v>
      </c>
      <c r="I49" s="30" t="e">
        <f t="shared" si="37"/>
        <v>#DIV/0!</v>
      </c>
      <c r="J49" s="21">
        <f t="shared" si="21"/>
        <v>0</v>
      </c>
      <c r="K49" s="30" t="e">
        <f t="shared" si="38"/>
        <v>#DIV/0!</v>
      </c>
      <c r="L49" s="21">
        <f t="shared" si="22"/>
        <v>0</v>
      </c>
      <c r="M49" s="30" t="e">
        <f t="shared" si="39"/>
        <v>#DIV/0!</v>
      </c>
      <c r="N49" s="21">
        <f t="shared" si="23"/>
        <v>0</v>
      </c>
      <c r="O49" s="59" t="e">
        <f t="shared" si="40"/>
        <v>#DIV/0!</v>
      </c>
      <c r="P49" s="21">
        <f t="shared" si="24"/>
        <v>0</v>
      </c>
      <c r="Q49" s="59" t="e">
        <f t="shared" si="41"/>
        <v>#DIV/0!</v>
      </c>
      <c r="R49" s="21">
        <f t="shared" si="25"/>
        <v>0</v>
      </c>
      <c r="S49" s="59" t="e">
        <f t="shared" si="42"/>
        <v>#DIV/0!</v>
      </c>
      <c r="T49" s="21">
        <f t="shared" si="26"/>
        <v>0</v>
      </c>
      <c r="U49" s="59" t="e">
        <f t="shared" si="43"/>
        <v>#DIV/0!</v>
      </c>
      <c r="V49" s="21">
        <f t="shared" si="27"/>
        <v>0</v>
      </c>
      <c r="W49" s="59" t="e">
        <f t="shared" si="44"/>
        <v>#DIV/0!</v>
      </c>
      <c r="X49" s="21">
        <f t="shared" si="28"/>
        <v>0</v>
      </c>
      <c r="Y49" s="59" t="e">
        <f t="shared" si="45"/>
        <v>#DIV/0!</v>
      </c>
      <c r="Z49" s="21">
        <f t="shared" si="29"/>
        <v>0</v>
      </c>
      <c r="AA49" s="59" t="e">
        <f t="shared" si="46"/>
        <v>#DIV/0!</v>
      </c>
      <c r="AB49" s="21">
        <f t="shared" si="30"/>
        <v>0</v>
      </c>
      <c r="AC49" s="59" t="e">
        <f t="shared" si="47"/>
        <v>#DIV/0!</v>
      </c>
      <c r="AD49" s="22" t="e">
        <f t="shared" si="31"/>
        <v>#DIV/0!</v>
      </c>
      <c r="AE49" s="23">
        <f t="shared" si="32"/>
        <v>0</v>
      </c>
      <c r="AF49" s="23">
        <f t="shared" si="48"/>
        <v>0</v>
      </c>
      <c r="AG49" s="45">
        <f t="shared" si="49"/>
        <v>0</v>
      </c>
    </row>
    <row r="50" spans="1:33" s="6" customFormat="1" ht="18" customHeight="1" x14ac:dyDescent="0.15">
      <c r="A50" s="50">
        <f t="shared" si="35"/>
        <v>0</v>
      </c>
      <c r="B50" s="32">
        <f t="shared" si="35"/>
        <v>0</v>
      </c>
      <c r="C50" s="32">
        <f t="shared" si="35"/>
        <v>0</v>
      </c>
      <c r="D50" s="31">
        <f t="shared" si="35"/>
        <v>0</v>
      </c>
      <c r="E50" s="33">
        <f t="shared" si="35"/>
        <v>0</v>
      </c>
      <c r="F50" s="21">
        <f t="shared" si="35"/>
        <v>0</v>
      </c>
      <c r="G50" s="30" t="e">
        <f t="shared" si="36"/>
        <v>#DIV/0!</v>
      </c>
      <c r="H50" s="21">
        <f t="shared" si="20"/>
        <v>0</v>
      </c>
      <c r="I50" s="30" t="e">
        <f t="shared" si="37"/>
        <v>#DIV/0!</v>
      </c>
      <c r="J50" s="21">
        <f t="shared" si="21"/>
        <v>0</v>
      </c>
      <c r="K50" s="30" t="e">
        <f t="shared" si="38"/>
        <v>#DIV/0!</v>
      </c>
      <c r="L50" s="21">
        <f t="shared" si="22"/>
        <v>0</v>
      </c>
      <c r="M50" s="30" t="e">
        <f t="shared" si="39"/>
        <v>#DIV/0!</v>
      </c>
      <c r="N50" s="21">
        <f t="shared" si="23"/>
        <v>0</v>
      </c>
      <c r="O50" s="59" t="e">
        <f t="shared" si="40"/>
        <v>#DIV/0!</v>
      </c>
      <c r="P50" s="21">
        <f t="shared" si="24"/>
        <v>0</v>
      </c>
      <c r="Q50" s="59" t="e">
        <f t="shared" si="41"/>
        <v>#DIV/0!</v>
      </c>
      <c r="R50" s="21">
        <f t="shared" si="25"/>
        <v>0</v>
      </c>
      <c r="S50" s="59" t="e">
        <f t="shared" si="42"/>
        <v>#DIV/0!</v>
      </c>
      <c r="T50" s="21">
        <f t="shared" si="26"/>
        <v>0</v>
      </c>
      <c r="U50" s="59" t="e">
        <f t="shared" si="43"/>
        <v>#DIV/0!</v>
      </c>
      <c r="V50" s="21">
        <f t="shared" si="27"/>
        <v>0</v>
      </c>
      <c r="W50" s="59" t="e">
        <f t="shared" si="44"/>
        <v>#DIV/0!</v>
      </c>
      <c r="X50" s="21">
        <f t="shared" si="28"/>
        <v>0</v>
      </c>
      <c r="Y50" s="59" t="e">
        <f t="shared" si="45"/>
        <v>#DIV/0!</v>
      </c>
      <c r="Z50" s="21">
        <f t="shared" si="29"/>
        <v>0</v>
      </c>
      <c r="AA50" s="59" t="e">
        <f t="shared" si="46"/>
        <v>#DIV/0!</v>
      </c>
      <c r="AB50" s="21">
        <f t="shared" si="30"/>
        <v>0</v>
      </c>
      <c r="AC50" s="59" t="e">
        <f t="shared" si="47"/>
        <v>#DIV/0!</v>
      </c>
      <c r="AD50" s="22" t="e">
        <f t="shared" si="31"/>
        <v>#DIV/0!</v>
      </c>
      <c r="AE50" s="23">
        <f t="shared" si="32"/>
        <v>0</v>
      </c>
      <c r="AF50" s="23">
        <f t="shared" si="48"/>
        <v>0</v>
      </c>
      <c r="AG50" s="45">
        <f t="shared" si="49"/>
        <v>0</v>
      </c>
    </row>
    <row r="51" spans="1:33" s="6" customFormat="1" ht="18" customHeight="1" x14ac:dyDescent="0.15">
      <c r="A51" s="50">
        <f t="shared" si="35"/>
        <v>0</v>
      </c>
      <c r="B51" s="32">
        <f t="shared" si="35"/>
        <v>0</v>
      </c>
      <c r="C51" s="32">
        <f t="shared" si="35"/>
        <v>0</v>
      </c>
      <c r="D51" s="31">
        <f t="shared" si="35"/>
        <v>0</v>
      </c>
      <c r="E51" s="33">
        <f t="shared" si="35"/>
        <v>0</v>
      </c>
      <c r="F51" s="21">
        <f t="shared" si="35"/>
        <v>0</v>
      </c>
      <c r="G51" s="30" t="e">
        <f t="shared" si="36"/>
        <v>#DIV/0!</v>
      </c>
      <c r="H51" s="21">
        <f t="shared" si="20"/>
        <v>0</v>
      </c>
      <c r="I51" s="30" t="e">
        <f t="shared" si="37"/>
        <v>#DIV/0!</v>
      </c>
      <c r="J51" s="21">
        <f t="shared" si="21"/>
        <v>0</v>
      </c>
      <c r="K51" s="30" t="e">
        <f t="shared" si="38"/>
        <v>#DIV/0!</v>
      </c>
      <c r="L51" s="21">
        <f t="shared" si="22"/>
        <v>0</v>
      </c>
      <c r="M51" s="30" t="e">
        <f t="shared" si="39"/>
        <v>#DIV/0!</v>
      </c>
      <c r="N51" s="21">
        <f t="shared" si="23"/>
        <v>0</v>
      </c>
      <c r="O51" s="59" t="e">
        <f t="shared" si="40"/>
        <v>#DIV/0!</v>
      </c>
      <c r="P51" s="21">
        <f t="shared" si="24"/>
        <v>0</v>
      </c>
      <c r="Q51" s="59" t="e">
        <f t="shared" si="41"/>
        <v>#DIV/0!</v>
      </c>
      <c r="R51" s="21">
        <f t="shared" si="25"/>
        <v>0</v>
      </c>
      <c r="S51" s="59" t="e">
        <f t="shared" si="42"/>
        <v>#DIV/0!</v>
      </c>
      <c r="T51" s="21">
        <f t="shared" si="26"/>
        <v>0</v>
      </c>
      <c r="U51" s="59" t="e">
        <f t="shared" si="43"/>
        <v>#DIV/0!</v>
      </c>
      <c r="V51" s="21">
        <f t="shared" si="27"/>
        <v>0</v>
      </c>
      <c r="W51" s="59" t="e">
        <f t="shared" si="44"/>
        <v>#DIV/0!</v>
      </c>
      <c r="X51" s="21">
        <f t="shared" si="28"/>
        <v>0</v>
      </c>
      <c r="Y51" s="59" t="e">
        <f t="shared" si="45"/>
        <v>#DIV/0!</v>
      </c>
      <c r="Z51" s="21">
        <f t="shared" si="29"/>
        <v>0</v>
      </c>
      <c r="AA51" s="59" t="e">
        <f t="shared" si="46"/>
        <v>#DIV/0!</v>
      </c>
      <c r="AB51" s="21">
        <f t="shared" si="30"/>
        <v>0</v>
      </c>
      <c r="AC51" s="59" t="e">
        <f t="shared" si="47"/>
        <v>#DIV/0!</v>
      </c>
      <c r="AD51" s="22" t="e">
        <f t="shared" si="31"/>
        <v>#DIV/0!</v>
      </c>
      <c r="AE51" s="23">
        <f t="shared" si="32"/>
        <v>0</v>
      </c>
      <c r="AF51" s="23">
        <f t="shared" si="48"/>
        <v>0</v>
      </c>
      <c r="AG51" s="45">
        <f t="shared" si="49"/>
        <v>0</v>
      </c>
    </row>
    <row r="52" spans="1:33" s="6" customFormat="1" ht="18" customHeight="1" x14ac:dyDescent="0.15">
      <c r="A52" s="50">
        <f t="shared" si="35"/>
        <v>0</v>
      </c>
      <c r="B52" s="32">
        <f t="shared" si="35"/>
        <v>0</v>
      </c>
      <c r="C52" s="32">
        <f t="shared" si="35"/>
        <v>0</v>
      </c>
      <c r="D52" s="31">
        <f t="shared" si="35"/>
        <v>0</v>
      </c>
      <c r="E52" s="33">
        <f t="shared" si="35"/>
        <v>0</v>
      </c>
      <c r="F52" s="21">
        <f t="shared" si="35"/>
        <v>0</v>
      </c>
      <c r="G52" s="30" t="e">
        <f t="shared" si="36"/>
        <v>#DIV/0!</v>
      </c>
      <c r="H52" s="21">
        <f t="shared" si="20"/>
        <v>0</v>
      </c>
      <c r="I52" s="30" t="e">
        <f t="shared" si="37"/>
        <v>#DIV/0!</v>
      </c>
      <c r="J52" s="21">
        <f t="shared" si="21"/>
        <v>0</v>
      </c>
      <c r="K52" s="30" t="e">
        <f t="shared" si="38"/>
        <v>#DIV/0!</v>
      </c>
      <c r="L52" s="21">
        <f t="shared" si="22"/>
        <v>0</v>
      </c>
      <c r="M52" s="30" t="e">
        <f t="shared" si="39"/>
        <v>#DIV/0!</v>
      </c>
      <c r="N52" s="21">
        <f t="shared" si="23"/>
        <v>0</v>
      </c>
      <c r="O52" s="59" t="e">
        <f t="shared" si="40"/>
        <v>#DIV/0!</v>
      </c>
      <c r="P52" s="21">
        <f t="shared" si="24"/>
        <v>0</v>
      </c>
      <c r="Q52" s="59" t="e">
        <f t="shared" si="41"/>
        <v>#DIV/0!</v>
      </c>
      <c r="R52" s="21">
        <f t="shared" si="25"/>
        <v>0</v>
      </c>
      <c r="S52" s="59" t="e">
        <f t="shared" si="42"/>
        <v>#DIV/0!</v>
      </c>
      <c r="T52" s="21">
        <f t="shared" si="26"/>
        <v>0</v>
      </c>
      <c r="U52" s="59" t="e">
        <f t="shared" si="43"/>
        <v>#DIV/0!</v>
      </c>
      <c r="V52" s="21">
        <f t="shared" si="27"/>
        <v>0</v>
      </c>
      <c r="W52" s="59" t="e">
        <f t="shared" si="44"/>
        <v>#DIV/0!</v>
      </c>
      <c r="X52" s="21">
        <f t="shared" si="28"/>
        <v>0</v>
      </c>
      <c r="Y52" s="59" t="e">
        <f t="shared" si="45"/>
        <v>#DIV/0!</v>
      </c>
      <c r="Z52" s="21">
        <f t="shared" si="29"/>
        <v>0</v>
      </c>
      <c r="AA52" s="59" t="e">
        <f t="shared" si="46"/>
        <v>#DIV/0!</v>
      </c>
      <c r="AB52" s="21">
        <f t="shared" si="30"/>
        <v>0</v>
      </c>
      <c r="AC52" s="59" t="e">
        <f t="shared" si="47"/>
        <v>#DIV/0!</v>
      </c>
      <c r="AD52" s="22" t="e">
        <f t="shared" si="31"/>
        <v>#DIV/0!</v>
      </c>
      <c r="AE52" s="23">
        <f t="shared" si="32"/>
        <v>0</v>
      </c>
      <c r="AF52" s="23">
        <f t="shared" si="48"/>
        <v>0</v>
      </c>
      <c r="AG52" s="45">
        <f t="shared" si="49"/>
        <v>0</v>
      </c>
    </row>
    <row r="53" spans="1:33" s="6" customFormat="1" ht="18" customHeight="1" x14ac:dyDescent="0.15">
      <c r="A53" s="50">
        <f t="shared" si="35"/>
        <v>0</v>
      </c>
      <c r="B53" s="32">
        <f t="shared" si="35"/>
        <v>0</v>
      </c>
      <c r="C53" s="32">
        <f t="shared" si="35"/>
        <v>0</v>
      </c>
      <c r="D53" s="31">
        <f t="shared" si="35"/>
        <v>0</v>
      </c>
      <c r="E53" s="33">
        <f t="shared" si="35"/>
        <v>0</v>
      </c>
      <c r="F53" s="21">
        <f t="shared" si="35"/>
        <v>0</v>
      </c>
      <c r="G53" s="30" t="e">
        <f t="shared" si="36"/>
        <v>#DIV/0!</v>
      </c>
      <c r="H53" s="21">
        <f t="shared" si="20"/>
        <v>0</v>
      </c>
      <c r="I53" s="30" t="e">
        <f t="shared" si="37"/>
        <v>#DIV/0!</v>
      </c>
      <c r="J53" s="21">
        <f t="shared" si="21"/>
        <v>0</v>
      </c>
      <c r="K53" s="30" t="e">
        <f t="shared" si="38"/>
        <v>#DIV/0!</v>
      </c>
      <c r="L53" s="21">
        <f t="shared" si="22"/>
        <v>0</v>
      </c>
      <c r="M53" s="30" t="e">
        <f t="shared" si="39"/>
        <v>#DIV/0!</v>
      </c>
      <c r="N53" s="21">
        <f t="shared" si="23"/>
        <v>0</v>
      </c>
      <c r="O53" s="59" t="e">
        <f t="shared" si="40"/>
        <v>#DIV/0!</v>
      </c>
      <c r="P53" s="21">
        <f t="shared" si="24"/>
        <v>0</v>
      </c>
      <c r="Q53" s="59" t="e">
        <f t="shared" si="41"/>
        <v>#DIV/0!</v>
      </c>
      <c r="R53" s="21">
        <f t="shared" si="25"/>
        <v>0</v>
      </c>
      <c r="S53" s="59" t="e">
        <f t="shared" si="42"/>
        <v>#DIV/0!</v>
      </c>
      <c r="T53" s="21">
        <f t="shared" si="26"/>
        <v>0</v>
      </c>
      <c r="U53" s="59" t="e">
        <f t="shared" si="43"/>
        <v>#DIV/0!</v>
      </c>
      <c r="V53" s="21">
        <f t="shared" si="27"/>
        <v>0</v>
      </c>
      <c r="W53" s="59" t="e">
        <f t="shared" si="44"/>
        <v>#DIV/0!</v>
      </c>
      <c r="X53" s="21">
        <f t="shared" si="28"/>
        <v>0</v>
      </c>
      <c r="Y53" s="59" t="e">
        <f t="shared" si="45"/>
        <v>#DIV/0!</v>
      </c>
      <c r="Z53" s="21">
        <f t="shared" si="29"/>
        <v>0</v>
      </c>
      <c r="AA53" s="59" t="e">
        <f t="shared" si="46"/>
        <v>#DIV/0!</v>
      </c>
      <c r="AB53" s="21">
        <f t="shared" si="30"/>
        <v>0</v>
      </c>
      <c r="AC53" s="59" t="e">
        <f t="shared" si="47"/>
        <v>#DIV/0!</v>
      </c>
      <c r="AD53" s="22" t="e">
        <f t="shared" si="31"/>
        <v>#DIV/0!</v>
      </c>
      <c r="AE53" s="23">
        <f t="shared" si="32"/>
        <v>0</v>
      </c>
      <c r="AF53" s="23">
        <f t="shared" si="48"/>
        <v>0</v>
      </c>
      <c r="AG53" s="45">
        <f t="shared" si="49"/>
        <v>0</v>
      </c>
    </row>
    <row r="54" spans="1:33" s="6" customFormat="1" ht="18" customHeight="1" x14ac:dyDescent="0.15">
      <c r="A54" s="51" t="s">
        <v>26</v>
      </c>
      <c r="B54" s="25"/>
      <c r="C54" s="25"/>
      <c r="D54" s="24"/>
      <c r="E54" s="26"/>
      <c r="F54" s="21" t="e">
        <f>IF(ROUND($G$33,4)&lt;&gt;1,"FIX BASE",IF(SUM(F39:F53)=0,"",IF(ROUND(SUM(F39:F53),2)&gt;ROUND($B$12,2),"OVER",$B$12-SUM(F39:F53))))</f>
        <v>#VALUE!</v>
      </c>
      <c r="G54" s="30" t="e">
        <f>IF(OR(F54="",F54="OVER",F54="FIX BASE",$B$12=0),"",F54/$B$12)</f>
        <v>#VALUE!</v>
      </c>
      <c r="H54" s="21" t="e">
        <f>IF(ROUND($I$33,4)&lt;&gt;1,"FIX BASE",IF(SUM(H39:H53)=0,"",IF(ROUND(SUM(H39:H53),2)&gt;ROUND($B$12,2),"OVER",$B$12-SUM(H39:H53))))</f>
        <v>#VALUE!</v>
      </c>
      <c r="I54" s="30" t="e">
        <f>IF(OR(H54="",H54="OVER",H54="FIX BASE",$B$12=0),"",H54/$B$12)</f>
        <v>#VALUE!</v>
      </c>
      <c r="J54" s="21" t="e">
        <f>IF(ROUND($K$33,4)&lt;&gt;1,"FIX BASE",IF(SUM(J39:J53)=0,"",IF(ROUND(SUM(J39:J53),2)&gt;ROUND($B$12,2),"OVER",$B$12-SUM(J39:J53))))</f>
        <v>#VALUE!</v>
      </c>
      <c r="K54" s="30" t="e">
        <f>IF(OR(J54="",J54="OVER",J54="FIX BASE",$B$12=0),"",J54/$B$12)</f>
        <v>#VALUE!</v>
      </c>
      <c r="L54" s="21" t="e">
        <f>IF(ROUND($M$33,4)&lt;&gt;1,"FIX BASE",IF(SUM(L39:L53)=0,"",IF(ROUND(SUM(L39:L53),2)&gt;ROUND($B$12,2),"OVER",$B$12-SUM(L39:L53))))</f>
        <v>#VALUE!</v>
      </c>
      <c r="M54" s="30" t="e">
        <f>IF(OR(L54="",L54="OVER",L54="FIX BASE",$B$12=0),"",L54/$B$12)</f>
        <v>#VALUE!</v>
      </c>
      <c r="N54" s="21" t="e">
        <f>IF(ROUND($O$33,4)&lt;&gt;1,"FIX BASE",IF(SUM(N39:N53)=0,"",IF(ROUND(SUM(N39:N53),2)&gt;ROUND($B$12,2),"OVER",$B$12-SUM(N39:N53))))</f>
        <v>#VALUE!</v>
      </c>
      <c r="O54" s="59" t="e">
        <f>IF(OR(N54="",N54="OVER",N54="FIX BASE",$B$12=0),"",N54/$B$12)</f>
        <v>#VALUE!</v>
      </c>
      <c r="P54" s="21" t="e">
        <f>IF(ROUND($Q$33,4)&lt;&gt;1,"FIX BASE",IF(SUM(P39:P53)=0,"",IF(ROUND(SUM(P39:P53),2)&gt;ROUND($B$12,2),"OVER",$B$12-SUM(P39:P53))))</f>
        <v>#VALUE!</v>
      </c>
      <c r="Q54" s="59" t="e">
        <f>IF(OR(P54="",P54="OVER",P54="FIX BASE",$B$12=0),"",P54/$B$12)</f>
        <v>#VALUE!</v>
      </c>
      <c r="R54" s="21" t="e">
        <f>IF(ROUND($S$33,4)&lt;&gt;1,"FIX BASE",IF(SUM(R39:R53)=0,"",IF(ROUND(SUM(R39:R53),2)&gt;ROUND($B$12,2),"OVER",$B$12-SUM(R39:R53))))</f>
        <v>#VALUE!</v>
      </c>
      <c r="S54" s="59" t="e">
        <f>IF(OR(R54="",R54="OVER",R54="FIX BASE",$B$12=0),"",R54/$B$12)</f>
        <v>#VALUE!</v>
      </c>
      <c r="T54" s="21" t="e">
        <f>IF(ROUND($U$33,4)&lt;&gt;1,"FIX BASE",IF(SUM(T39:T53)=0,"",IF(ROUND(SUM(T39:T53),2)&gt;ROUND($B$12,2),"OVER",$B$12-SUM(T39:T53))))</f>
        <v>#VALUE!</v>
      </c>
      <c r="U54" s="59" t="e">
        <f>IF(OR(T54="",T54="OVER",T54="FIX BASE",$B$12=0),"",T54/$B$12)</f>
        <v>#VALUE!</v>
      </c>
      <c r="V54" s="21" t="e">
        <f>IF(ROUND($W$33,4)&lt;&gt;1,"FIX BASE",IF(SUM(V39:V53)=0,"",IF(ROUND(SUM(V39:V53),2)&gt;ROUND($B$12,2),"OVER",$B$12-SUM(V39:V53))))</f>
        <v>#VALUE!</v>
      </c>
      <c r="W54" s="59" t="e">
        <f>IF(OR(V54="",V54="OVER",V54="FIX BASE",$B$12=0),"",V54/$B$12)</f>
        <v>#VALUE!</v>
      </c>
      <c r="X54" s="21" t="e">
        <f>IF(ROUND($Y$33,4)&lt;&gt;1,"FIX BASE",IF(SUM(X39:X53)=0,"",IF(ROUND(SUM(X39:X53),2)&gt;ROUND($B$12,2),"OVER",$B$12-SUM(X39:X53))))</f>
        <v>#VALUE!</v>
      </c>
      <c r="Y54" s="59" t="e">
        <f>IF(OR(X54="",X54="OVER",X54="FIX BASE",$B$12=0),"",X54/$B$12)</f>
        <v>#VALUE!</v>
      </c>
      <c r="Z54" s="21" t="e">
        <f>IF(ROUND($AA$33,4)&lt;&gt;1,"FIX BASE",IF(SUM(Z39:Z53)=0,"",IF(ROUND(SUM(Z39:Z53),2)&gt;ROUND($B$12,2),"OVER",$B$12-SUM(Z39:Z53))))</f>
        <v>#VALUE!</v>
      </c>
      <c r="AA54" s="59" t="e">
        <f>IF(OR(Z54="",Z54="OVER",Z54="FIX BASE",$B$12=0),"",Z54/$B$12)</f>
        <v>#VALUE!</v>
      </c>
      <c r="AB54" s="21" t="e">
        <f>IF(ROUND($AC$33,4)&lt;&gt;1,"FIX BASE",IF(SUM(AB39:AB53)=0,"",IF(ROUND(SUM(AB39:AB53),2)&gt;ROUND($B$12,2),"OVER",$B$12-SUM(AB39:AB53))))</f>
        <v>#VALUE!</v>
      </c>
      <c r="AC54" s="59" t="e">
        <f>IF(OR(AB54="",AB54="OVER",AB54="FIX BASE",$B$12=0),"",AB54/$B$12)</f>
        <v>#VALUE!</v>
      </c>
      <c r="AD54" s="22" t="e">
        <f t="shared" si="31"/>
        <v>#VALUE!</v>
      </c>
      <c r="AE54" s="23" t="e">
        <f t="shared" si="32"/>
        <v>#VALUE!</v>
      </c>
      <c r="AF54" s="23" t="e">
        <f t="shared" si="48"/>
        <v>#VALUE!</v>
      </c>
      <c r="AG54" s="45" t="e">
        <f t="shared" si="49"/>
        <v>#VALUE!</v>
      </c>
    </row>
    <row r="55" spans="1:33" ht="18" customHeight="1" thickBot="1" x14ac:dyDescent="0.2">
      <c r="A55" s="98" t="s">
        <v>15</v>
      </c>
      <c r="B55" s="99"/>
      <c r="C55" s="99"/>
      <c r="D55" s="99"/>
      <c r="E55" s="99"/>
      <c r="F55" s="52" t="e">
        <f>SUM(F39:F54)</f>
        <v>#VALUE!</v>
      </c>
      <c r="G55" s="53" t="e">
        <f t="shared" ref="G55:AC55" si="50">SUM(G39:G54)</f>
        <v>#DIV/0!</v>
      </c>
      <c r="H55" s="52" t="e">
        <f t="shared" si="50"/>
        <v>#VALUE!</v>
      </c>
      <c r="I55" s="53" t="e">
        <f t="shared" si="50"/>
        <v>#DIV/0!</v>
      </c>
      <c r="J55" s="52" t="e">
        <f t="shared" si="50"/>
        <v>#VALUE!</v>
      </c>
      <c r="K55" s="53" t="e">
        <f t="shared" si="50"/>
        <v>#DIV/0!</v>
      </c>
      <c r="L55" s="52" t="e">
        <f t="shared" si="50"/>
        <v>#VALUE!</v>
      </c>
      <c r="M55" s="53" t="e">
        <f t="shared" si="50"/>
        <v>#DIV/0!</v>
      </c>
      <c r="N55" s="52" t="e">
        <f t="shared" si="50"/>
        <v>#VALUE!</v>
      </c>
      <c r="O55" s="54" t="e">
        <f t="shared" si="50"/>
        <v>#DIV/0!</v>
      </c>
      <c r="P55" s="55" t="e">
        <f t="shared" si="50"/>
        <v>#VALUE!</v>
      </c>
      <c r="Q55" s="54" t="e">
        <f t="shared" si="50"/>
        <v>#DIV/0!</v>
      </c>
      <c r="R55" s="55" t="e">
        <f t="shared" si="50"/>
        <v>#VALUE!</v>
      </c>
      <c r="S55" s="54" t="e">
        <f t="shared" si="50"/>
        <v>#DIV/0!</v>
      </c>
      <c r="T55" s="55" t="e">
        <f t="shared" si="50"/>
        <v>#VALUE!</v>
      </c>
      <c r="U55" s="54" t="e">
        <f t="shared" si="50"/>
        <v>#DIV/0!</v>
      </c>
      <c r="V55" s="55" t="e">
        <f t="shared" si="50"/>
        <v>#VALUE!</v>
      </c>
      <c r="W55" s="54" t="e">
        <f t="shared" si="50"/>
        <v>#DIV/0!</v>
      </c>
      <c r="X55" s="55" t="e">
        <f t="shared" si="50"/>
        <v>#VALUE!</v>
      </c>
      <c r="Y55" s="53" t="e">
        <f t="shared" si="50"/>
        <v>#DIV/0!</v>
      </c>
      <c r="Z55" s="52" t="e">
        <f t="shared" si="50"/>
        <v>#VALUE!</v>
      </c>
      <c r="AA55" s="53" t="e">
        <f t="shared" si="50"/>
        <v>#DIV/0!</v>
      </c>
      <c r="AB55" s="52" t="e">
        <f t="shared" si="50"/>
        <v>#VALUE!</v>
      </c>
      <c r="AC55" s="53" t="e">
        <f t="shared" si="50"/>
        <v>#DIV/0!</v>
      </c>
      <c r="AD55" s="56" t="e">
        <f t="shared" ref="AD55" si="51">AVERAGE(G55,I55,K55,M55,O55,Q55,S55,U55,W55,Y55,AA55,AC55)</f>
        <v>#DIV/0!</v>
      </c>
      <c r="AE55" s="57" t="e">
        <f>SUM(AE39:AE54)</f>
        <v>#VALUE!</v>
      </c>
      <c r="AF55" s="57" t="e">
        <f>SUM(AF39:AF54)</f>
        <v>#VALUE!</v>
      </c>
      <c r="AG55" s="58" t="e">
        <f>SUM(AG39:AG54)</f>
        <v>#VALUE!</v>
      </c>
    </row>
    <row r="56" spans="1:33" ht="30" customHeight="1" x14ac:dyDescent="0.15">
      <c r="A56" s="64" t="s">
        <v>22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</row>
    <row r="57" spans="1:33" ht="18" customHeight="1" x14ac:dyDescent="0.15"/>
    <row r="58" spans="1:33" ht="18" customHeight="1" x14ac:dyDescent="0.15"/>
    <row r="59" spans="1:33" ht="18" customHeight="1" x14ac:dyDescent="0.15"/>
    <row r="60" spans="1:33" ht="18" customHeight="1" x14ac:dyDescent="0.15"/>
    <row r="61" spans="1:33" ht="18" customHeight="1" x14ac:dyDescent="0.15"/>
    <row r="62" spans="1:33" ht="18" customHeight="1" x14ac:dyDescent="0.15"/>
    <row r="63" spans="1:33" ht="18" customHeight="1" x14ac:dyDescent="0.15"/>
    <row r="64" spans="1:33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</sheetData>
  <sheetProtection algorithmName="SHA-512" hashValue="3gkrIrrvqwH9eByE2EJTP9w0o+qed3gPwWpBgpuHvJ5CNOlmJN4uuaFDeXIqXtR7DdQTl04HgyJEV1SkpoTVTQ==" saltValue="dU1caP6H1esPcF2BzFs7pQ==" spinCount="100000" sheet="1" selectLockedCells="1"/>
  <mergeCells count="64">
    <mergeCell ref="B11:D11"/>
    <mergeCell ref="B13:D13"/>
    <mergeCell ref="H2:AC13"/>
    <mergeCell ref="A55:E55"/>
    <mergeCell ref="H1:AC1"/>
    <mergeCell ref="A36:AG36"/>
    <mergeCell ref="B2:D2"/>
    <mergeCell ref="B3:D3"/>
    <mergeCell ref="B4:D4"/>
    <mergeCell ref="B5:D5"/>
    <mergeCell ref="B6:D6"/>
    <mergeCell ref="B7:D7"/>
    <mergeCell ref="B8:D8"/>
    <mergeCell ref="B9:D9"/>
    <mergeCell ref="B12:D12"/>
    <mergeCell ref="A33:E33"/>
    <mergeCell ref="A1:D1"/>
    <mergeCell ref="A15:AG15"/>
    <mergeCell ref="T16:U16"/>
    <mergeCell ref="V16:W16"/>
    <mergeCell ref="X16:Y16"/>
    <mergeCell ref="F16:G16"/>
    <mergeCell ref="H16:I16"/>
    <mergeCell ref="J16:K16"/>
    <mergeCell ref="L16:M16"/>
    <mergeCell ref="N16:O16"/>
    <mergeCell ref="A14:AG14"/>
    <mergeCell ref="P16:Q16"/>
    <mergeCell ref="R16:S16"/>
    <mergeCell ref="AD16:AD17"/>
    <mergeCell ref="AE16:AE17"/>
    <mergeCell ref="AF16:AF17"/>
    <mergeCell ref="A34:AG35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E37:AE38"/>
    <mergeCell ref="AF37:AF38"/>
    <mergeCell ref="AG37:AG38"/>
    <mergeCell ref="AG16:AG17"/>
    <mergeCell ref="Z16:AA16"/>
    <mergeCell ref="AB16:AC16"/>
    <mergeCell ref="A56:AG56"/>
    <mergeCell ref="B10:D10"/>
    <mergeCell ref="A37:A38"/>
    <mergeCell ref="B37:B38"/>
    <mergeCell ref="C37:C38"/>
    <mergeCell ref="D37:D38"/>
    <mergeCell ref="E37:E38"/>
    <mergeCell ref="A16:A17"/>
    <mergeCell ref="B16:B17"/>
    <mergeCell ref="C16:C17"/>
    <mergeCell ref="D16:D17"/>
    <mergeCell ref="E16:E17"/>
    <mergeCell ref="AD37:AD38"/>
  </mergeCells>
  <phoneticPr fontId="2" type="noConversion"/>
  <conditionalFormatting sqref="G33">
    <cfRule type="expression" dxfId="23" priority="1">
      <formula>G33&lt;&gt;1</formula>
    </cfRule>
  </conditionalFormatting>
  <conditionalFormatting sqref="G55">
    <cfRule type="expression" dxfId="22" priority="13">
      <formula>G55&lt;&gt;1</formula>
    </cfRule>
  </conditionalFormatting>
  <conditionalFormatting sqref="I33">
    <cfRule type="expression" dxfId="21" priority="2">
      <formula>I33&lt;&gt;1</formula>
    </cfRule>
  </conditionalFormatting>
  <conditionalFormatting sqref="I55">
    <cfRule type="expression" dxfId="20" priority="14">
      <formula>I55&lt;&gt;1</formula>
    </cfRule>
  </conditionalFormatting>
  <conditionalFormatting sqref="K33">
    <cfRule type="expression" dxfId="19" priority="3">
      <formula>K33&lt;&gt;1</formula>
    </cfRule>
  </conditionalFormatting>
  <conditionalFormatting sqref="K55">
    <cfRule type="expression" dxfId="18" priority="15">
      <formula>K55&lt;&gt;1</formula>
    </cfRule>
  </conditionalFormatting>
  <conditionalFormatting sqref="M33">
    <cfRule type="expression" dxfId="17" priority="4">
      <formula>M33&lt;&gt;1</formula>
    </cfRule>
  </conditionalFormatting>
  <conditionalFormatting sqref="M55">
    <cfRule type="expression" dxfId="16" priority="16">
      <formula>M55&lt;&gt;1</formula>
    </cfRule>
  </conditionalFormatting>
  <conditionalFormatting sqref="O33">
    <cfRule type="expression" dxfId="15" priority="5">
      <formula>O33&lt;&gt;1</formula>
    </cfRule>
  </conditionalFormatting>
  <conditionalFormatting sqref="O55">
    <cfRule type="expression" dxfId="14" priority="17">
      <formula>O55&lt;&gt;1</formula>
    </cfRule>
  </conditionalFormatting>
  <conditionalFormatting sqref="Q33">
    <cfRule type="expression" dxfId="13" priority="6">
      <formula>Q33&lt;&gt;1</formula>
    </cfRule>
  </conditionalFormatting>
  <conditionalFormatting sqref="Q55">
    <cfRule type="expression" dxfId="12" priority="18">
      <formula>Q55&lt;&gt;1</formula>
    </cfRule>
  </conditionalFormatting>
  <conditionalFormatting sqref="S33">
    <cfRule type="expression" dxfId="11" priority="7">
      <formula>S33&lt;&gt;1</formula>
    </cfRule>
  </conditionalFormatting>
  <conditionalFormatting sqref="S55">
    <cfRule type="expression" dxfId="10" priority="19">
      <formula>S55&lt;&gt;1</formula>
    </cfRule>
  </conditionalFormatting>
  <conditionalFormatting sqref="U33">
    <cfRule type="expression" dxfId="9" priority="8">
      <formula>U33&lt;&gt;1</formula>
    </cfRule>
  </conditionalFormatting>
  <conditionalFormatting sqref="U55">
    <cfRule type="expression" dxfId="8" priority="20">
      <formula>U55&lt;&gt;1</formula>
    </cfRule>
  </conditionalFormatting>
  <conditionalFormatting sqref="W33">
    <cfRule type="expression" dxfId="7" priority="9">
      <formula>W33&lt;&gt;1</formula>
    </cfRule>
  </conditionalFormatting>
  <conditionalFormatting sqref="W55">
    <cfRule type="expression" dxfId="6" priority="21">
      <formula>W55&lt;&gt;1</formula>
    </cfRule>
  </conditionalFormatting>
  <conditionalFormatting sqref="Y33">
    <cfRule type="expression" dxfId="5" priority="10">
      <formula>Y33&lt;&gt;1</formula>
    </cfRule>
  </conditionalFormatting>
  <conditionalFormatting sqref="Y55">
    <cfRule type="expression" dxfId="4" priority="22">
      <formula>Y55&lt;&gt;1</formula>
    </cfRule>
  </conditionalFormatting>
  <conditionalFormatting sqref="AA33">
    <cfRule type="expression" dxfId="3" priority="11">
      <formula>AA33&lt;&gt;1</formula>
    </cfRule>
  </conditionalFormatting>
  <conditionalFormatting sqref="AA55">
    <cfRule type="expression" dxfId="2" priority="23">
      <formula>AA55&lt;&gt;1</formula>
    </cfRule>
  </conditionalFormatting>
  <conditionalFormatting sqref="AC33">
    <cfRule type="expression" dxfId="1" priority="12">
      <formula>AC33&lt;&gt;1</formula>
    </cfRule>
  </conditionalFormatting>
  <conditionalFormatting sqref="AC55">
    <cfRule type="expression" dxfId="0" priority="24">
      <formula>AC55&lt;&gt;1</formula>
    </cfRule>
  </conditionalFormatting>
  <dataValidations count="1">
    <dataValidation type="list" allowBlank="1" showInputMessage="1" showErrorMessage="1" sqref="B11:D11" xr:uid="{02B2343A-3745-1140-A428-B9E3FA51C8E4}">
      <formula1>"Yes, No"</formula1>
    </dataValidation>
  </dataValidations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LOE Supplement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Katherine A.</dc:creator>
  <cp:lastModifiedBy>Katy Gruber</cp:lastModifiedBy>
  <dcterms:created xsi:type="dcterms:W3CDTF">2026-04-21T19:40:29Z</dcterms:created>
  <dcterms:modified xsi:type="dcterms:W3CDTF">2026-07-14T03:33:01Z</dcterms:modified>
</cp:coreProperties>
</file>