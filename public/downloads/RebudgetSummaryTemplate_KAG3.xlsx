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vetulane-my.sharepoint.com/personal/kgruber_tulane_edu/Documents/Desktop/"/>
    </mc:Choice>
  </mc:AlternateContent>
  <xr:revisionPtr revIDLastSave="4" documentId="8_{188ED172-6342-44C8-8BD4-13DCBD8B5EF0}" xr6:coauthVersionLast="47" xr6:coauthVersionMax="47" xr10:uidLastSave="{00CB80D9-70F8-4645-BAFE-AD7A21D4F21F}"/>
  <bookViews>
    <workbookView xWindow="5430" yWindow="1320" windowWidth="33510" windowHeight="16500" xr2:uid="{664AE584-F73D-44F8-A892-00FAF0226CC1}"/>
  </bookViews>
  <sheets>
    <sheet name="Rebudget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" l="1"/>
  <c r="H30" i="1"/>
  <c r="G30" i="1"/>
  <c r="F30" i="1"/>
  <c r="E30" i="1"/>
  <c r="J29" i="1"/>
  <c r="H29" i="1"/>
  <c r="G29" i="1"/>
  <c r="F29" i="1"/>
  <c r="E29" i="1"/>
  <c r="D27" i="1"/>
  <c r="E27" i="1" s="1"/>
  <c r="C27" i="1"/>
  <c r="B27" i="1"/>
  <c r="J26" i="1"/>
  <c r="H26" i="1"/>
  <c r="G26" i="1"/>
  <c r="F26" i="1"/>
  <c r="E26" i="1"/>
  <c r="J25" i="1"/>
  <c r="H25" i="1"/>
  <c r="G25" i="1"/>
  <c r="F25" i="1"/>
  <c r="E25" i="1"/>
  <c r="J24" i="1"/>
  <c r="H24" i="1"/>
  <c r="G24" i="1"/>
  <c r="F24" i="1"/>
  <c r="E24" i="1"/>
  <c r="J23" i="1"/>
  <c r="H23" i="1"/>
  <c r="G23" i="1"/>
  <c r="F23" i="1"/>
  <c r="E23" i="1"/>
  <c r="J22" i="1"/>
  <c r="H22" i="1"/>
  <c r="G22" i="1"/>
  <c r="F22" i="1"/>
  <c r="F27" i="1" s="1"/>
  <c r="E22" i="1"/>
  <c r="J21" i="1"/>
  <c r="H21" i="1"/>
  <c r="G21" i="1"/>
  <c r="F21" i="1"/>
  <c r="E21" i="1"/>
  <c r="J20" i="1"/>
  <c r="H20" i="1"/>
  <c r="G20" i="1"/>
  <c r="F20" i="1"/>
  <c r="E20" i="1"/>
  <c r="J19" i="1"/>
  <c r="H19" i="1"/>
  <c r="G19" i="1"/>
  <c r="G27" i="1" s="1"/>
  <c r="G31" i="1" s="1"/>
  <c r="F19" i="1"/>
  <c r="E19" i="1"/>
  <c r="J18" i="1"/>
  <c r="H18" i="1"/>
  <c r="G18" i="1"/>
  <c r="F18" i="1"/>
  <c r="E18" i="1"/>
  <c r="J17" i="1"/>
  <c r="H17" i="1"/>
  <c r="G17" i="1"/>
  <c r="F17" i="1"/>
  <c r="E17" i="1"/>
  <c r="J16" i="1"/>
  <c r="H16" i="1"/>
  <c r="G16" i="1"/>
  <c r="F16" i="1"/>
  <c r="E16" i="1"/>
  <c r="J15" i="1"/>
  <c r="H15" i="1"/>
  <c r="G15" i="1"/>
  <c r="F15" i="1"/>
  <c r="E15" i="1"/>
  <c r="J14" i="1"/>
  <c r="H14" i="1"/>
  <c r="G14" i="1"/>
  <c r="F14" i="1"/>
  <c r="E14" i="1"/>
  <c r="J13" i="1"/>
  <c r="H13" i="1"/>
  <c r="G13" i="1"/>
  <c r="F13" i="1"/>
  <c r="E13" i="1"/>
  <c r="J12" i="1"/>
  <c r="H12" i="1"/>
  <c r="G12" i="1"/>
  <c r="F12" i="1"/>
  <c r="H8" i="1" s="1"/>
  <c r="E12" i="1"/>
  <c r="H7" i="1"/>
  <c r="H6" i="1"/>
  <c r="M5" i="1" a="1"/>
  <c r="M5" i="1" s="1"/>
  <c r="D28" i="1" s="1"/>
  <c r="H5" i="1"/>
  <c r="M4" i="1" a="1"/>
  <c r="M4" i="1" s="1"/>
  <c r="C28" i="1" s="1"/>
  <c r="H4" i="1"/>
  <c r="M3" i="1" a="1"/>
  <c r="M3" i="1" s="1"/>
  <c r="B28" i="1" s="1"/>
  <c r="B31" i="1" l="1"/>
  <c r="C31" i="1"/>
  <c r="H28" i="1"/>
  <c r="F31" i="1"/>
  <c r="H27" i="1"/>
  <c r="J27" i="1" s="1"/>
  <c r="E28" i="1"/>
  <c r="J28" i="1" s="1"/>
  <c r="D31" i="1"/>
  <c r="E31" i="1" s="1"/>
  <c r="H31" i="1" l="1"/>
  <c r="J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Gruber, Katherine A</author>
  </authors>
  <commentList>
    <comment ref="I11" authorId="0" shapeId="0" xr:uid="{6892972E-B6A9-49FF-9009-D0398D502E39}">
      <text>
        <r>
          <rPr>
            <b/>
            <sz val="9"/>
            <color indexed="81"/>
            <rFont val="Tahoma"/>
            <family val="2"/>
          </rPr>
          <t>Gruber, Katherine A:</t>
        </r>
        <r>
          <rPr>
            <sz val="9"/>
            <color indexed="81"/>
            <rFont val="Tahoma"/>
            <family val="2"/>
          </rPr>
          <t xml:space="preserve">
Indicates whether a cost is included in the Modified Total Direct Cost (MTDC) base used to calculate F&amp;A. Select “Yes” for typical operating costs (e.g., salaries, travel, supplies) and “No” for excluded costs (e.g., equipment, participant support, financial aid).</t>
        </r>
      </text>
    </comment>
    <comment ref="I20" authorId="0" shapeId="0" xr:uid="{88D096D7-70FF-4EB1-88FA-712333998CB5}">
      <text>
        <r>
          <rPr>
            <b/>
            <sz val="9"/>
            <color indexed="81"/>
            <rFont val="Tahoma"/>
            <family val="2"/>
          </rPr>
          <t>Gruber, Katherine A:</t>
        </r>
        <r>
          <rPr>
            <sz val="9"/>
            <color indexed="81"/>
            <rFont val="Tahoma"/>
            <family val="2"/>
          </rPr>
          <t xml:space="preserve">
Only the first $25,000 per subaward is included in MTDC (used to calculate F&amp;A). Any amount above $25,000 is excluded. This template assumes full inclusion—adjust MTDC eligibility if needed.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<sst xmlns="http://schemas.openxmlformats.org/spreadsheetml/2006/main" count="69" uniqueCount="56">
  <si>
    <t>Budget Summary</t>
  </si>
  <si>
    <t>Project Title</t>
  </si>
  <si>
    <t>Derived Controls</t>
  </si>
  <si>
    <t>Calculating MTDC</t>
  </si>
  <si>
    <t>PI Name</t>
  </si>
  <si>
    <t>Date of Request</t>
  </si>
  <si>
    <t>Origional MTDC</t>
  </si>
  <si>
    <t>Sponsor/Award #</t>
  </si>
  <si>
    <t>Today</t>
  </si>
  <si>
    <t>Revised MTDC</t>
  </si>
  <si>
    <t>Cayuse #</t>
  </si>
  <si>
    <t>Days to End</t>
  </si>
  <si>
    <t>Current MTDC</t>
  </si>
  <si>
    <t>Budget Period Start Date</t>
  </si>
  <si>
    <t>Late-Stage Flag</t>
  </si>
  <si>
    <t>Budget Period End Date</t>
  </si>
  <si>
    <t>Categories Affected</t>
  </si>
  <si>
    <t>Scope Unchanged? (Yes/No)</t>
  </si>
  <si>
    <t>Total Rebudget Amount</t>
  </si>
  <si>
    <t>Prior Approval Likely Required? (Yes/No/Unsure)</t>
  </si>
  <si>
    <t>F&amp;A Rate</t>
  </si>
  <si>
    <t>Budget Categories</t>
  </si>
  <si>
    <t>Category</t>
  </si>
  <si>
    <t>Original Budget</t>
  </si>
  <si>
    <t>Revised Budget</t>
  </si>
  <si>
    <t>Current Expenditures</t>
  </si>
  <si>
    <t>Available Balance</t>
  </si>
  <si>
    <t>Budget Revision Decrease</t>
  </si>
  <si>
    <t>Budget Revision Increase</t>
  </si>
  <si>
    <t>Oracle Revised Budget</t>
  </si>
  <si>
    <t>MTDC Eligible</t>
  </si>
  <si>
    <t>Status</t>
  </si>
  <si>
    <t>Salary &amp; Wages</t>
  </si>
  <si>
    <t>Yes</t>
  </si>
  <si>
    <t>Fringe Benefits</t>
  </si>
  <si>
    <t>Supplies &amp; Expenses</t>
  </si>
  <si>
    <t>Travel</t>
  </si>
  <si>
    <t>Other</t>
  </si>
  <si>
    <t>International Living Expenses</t>
  </si>
  <si>
    <t>International Operating Expenses</t>
  </si>
  <si>
    <t>Consulting</t>
  </si>
  <si>
    <t>Subcontractors</t>
  </si>
  <si>
    <t>Patient Care</t>
  </si>
  <si>
    <t>No</t>
  </si>
  <si>
    <t>Participant Support</t>
  </si>
  <si>
    <t>Financial Aid</t>
  </si>
  <si>
    <t>Land/Building Improvements</t>
  </si>
  <si>
    <t>Minor Equipment</t>
  </si>
  <si>
    <t>Major Equipment</t>
  </si>
  <si>
    <t>Total Direct</t>
  </si>
  <si>
    <t>F&amp;A Sponsor</t>
  </si>
  <si>
    <t>Cost Share - Direct</t>
  </si>
  <si>
    <t>Cost Share  - F&amp;A</t>
  </si>
  <si>
    <t>Total Cost</t>
  </si>
  <si>
    <r>
      <rPr>
        <b/>
        <sz val="12"/>
        <color theme="0" tint="-4.9989318521683403E-2"/>
        <rFont val="Cambria"/>
        <family val="1"/>
      </rPr>
      <t xml:space="preserve">   </t>
    </r>
    <r>
      <rPr>
        <b/>
        <u/>
        <sz val="12"/>
        <color theme="0" tint="-4.9989318521683403E-2"/>
        <rFont val="Cambria"/>
        <family val="1"/>
      </rPr>
      <t>Justification:</t>
    </r>
  </si>
  <si>
    <t>Designed by Katherine A. Gruber / RebudgetSummaryTemplate - v1.1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</si>
</sst>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FFFF"/>
      <name val="Cambria"/>
      <family val="1"/>
    </font>
    <font>
      <sz val="11"/>
      <color theme="1"/>
      <name val="Cambria"/>
      <family val="1"/>
    </font>
    <font>
      <b/>
      <sz val="11"/>
      <name val="Cambria"/>
      <family val="1"/>
    </font>
    <font>
      <sz val="11"/>
      <color rgb="FF0000FF"/>
      <name val="Cambria"/>
      <family val="1"/>
    </font>
    <font>
      <b/>
      <sz val="11"/>
      <color rgb="FFFFFFFF"/>
      <name val="Cambria"/>
      <family val="1"/>
    </font>
    <font>
      <b/>
      <sz val="11"/>
      <color theme="0"/>
      <name val="Cambria"/>
      <family val="1"/>
    </font>
    <font>
      <sz val="11"/>
      <color rgb="FF000000"/>
      <name val="Cambria"/>
      <family val="1"/>
    </font>
    <font>
      <b/>
      <sz val="11"/>
      <color theme="1"/>
      <name val="Cambria"/>
      <family val="1"/>
    </font>
    <font>
      <sz val="11"/>
      <color theme="2" tint="-0.499984740745262"/>
      <name val="Cambria"/>
      <family val="1"/>
    </font>
    <font>
      <b/>
      <sz val="11"/>
      <color rgb="FFFF0000"/>
      <name val="Cambria"/>
      <family val="1"/>
    </font>
    <font>
      <sz val="11"/>
      <name val="Cambria"/>
      <family val="1"/>
    </font>
    <font>
      <sz val="11"/>
      <color rgb="FFFF0000"/>
      <name val="Cambria"/>
      <family val="1"/>
    </font>
    <font>
      <b/>
      <sz val="11"/>
      <color rgb="FF000000"/>
      <name val="Cambria"/>
      <family val="1"/>
    </font>
    <font>
      <sz val="12"/>
      <name val="Arial"/>
      <family val="2"/>
    </font>
    <font>
      <b/>
      <u/>
      <sz val="12"/>
      <color theme="0" tint="-4.9989318521683403E-2"/>
      <name val="Cambria"/>
      <family val="1"/>
    </font>
    <font>
      <b/>
      <sz val="12"/>
      <color theme="0" tint="-4.9989318521683403E-2"/>
      <name val="Cambria"/>
      <family val="1"/>
    </font>
    <font>
      <sz val="12"/>
      <name val="Cambri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1"/>
      <color theme="2" tint="-0.749992370372631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3F4F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C9CED6"/>
      </bottom>
      <diagonal/>
    </border>
    <border>
      <left/>
      <right/>
      <top style="medium">
        <color indexed="64"/>
      </top>
      <bottom style="thin">
        <color rgb="FFC9CED6"/>
      </bottom>
      <diagonal/>
    </border>
    <border>
      <left/>
      <right style="medium">
        <color indexed="64"/>
      </right>
      <top style="medium">
        <color indexed="64"/>
      </top>
      <bottom style="thin">
        <color rgb="FFC9CED6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rgb="FFC9CED6"/>
      </top>
      <bottom/>
      <diagonal/>
    </border>
    <border>
      <left/>
      <right style="medium">
        <color indexed="64"/>
      </right>
      <top style="thin">
        <color rgb="FFC9CED6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rgb="FFC9CED6"/>
      </bottom>
      <diagonal/>
    </border>
    <border>
      <left/>
      <right/>
      <top style="thin">
        <color theme="0" tint="-0.34998626667073579"/>
      </top>
      <bottom style="thin">
        <color rgb="FFC9CED6"/>
      </bottom>
      <diagonal/>
    </border>
    <border>
      <left/>
      <right/>
      <top/>
      <bottom style="thin">
        <color rgb="FFC9CED6"/>
      </bottom>
      <diagonal/>
    </border>
    <border>
      <left style="medium">
        <color indexed="64"/>
      </left>
      <right/>
      <top style="thin">
        <color rgb="FFC9CED6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/>
      <diagonal/>
    </border>
    <border>
      <left style="medium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/>
  </cellStyleXfs>
  <cellXfs count="112">
    <xf numFmtId="0" fontId="0" fillId="0" borderId="0" xfId="0"/>
    <xf numFmtId="0" fontId="3" fillId="0" borderId="0" xfId="0" applyFont="1" applyProtection="1">
      <protection locked="0"/>
    </xf>
    <xf numFmtId="0" fontId="4" fillId="3" borderId="4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3" fillId="5" borderId="11" xfId="0" applyFont="1" applyFill="1" applyBorder="1" applyAlignment="1">
      <alignment vertical="center" wrapText="1"/>
    </xf>
    <xf numFmtId="0" fontId="9" fillId="0" borderId="4" xfId="0" applyFont="1" applyBorder="1" applyAlignment="1">
      <alignment horizontal="center"/>
    </xf>
    <xf numFmtId="44" fontId="3" fillId="0" borderId="13" xfId="1" applyFont="1" applyBorder="1" applyProtection="1"/>
    <xf numFmtId="0" fontId="9" fillId="0" borderId="15" xfId="0" applyFont="1" applyBorder="1" applyAlignment="1">
      <alignment horizontal="center"/>
    </xf>
    <xf numFmtId="44" fontId="3" fillId="0" borderId="16" xfId="1" applyFont="1" applyBorder="1" applyProtection="1"/>
    <xf numFmtId="0" fontId="4" fillId="3" borderId="17" xfId="0" applyFont="1" applyFill="1" applyBorder="1" applyAlignment="1">
      <alignment vertical="center" wrapText="1"/>
    </xf>
    <xf numFmtId="0" fontId="3" fillId="5" borderId="19" xfId="0" applyFont="1" applyFill="1" applyBorder="1" applyAlignment="1">
      <alignment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10" fillId="7" borderId="26" xfId="0" applyFont="1" applyFill="1" applyBorder="1" applyAlignment="1">
      <alignment vertical="center" wrapText="1"/>
    </xf>
    <xf numFmtId="44" fontId="5" fillId="4" borderId="27" xfId="1" applyFont="1" applyFill="1" applyBorder="1" applyAlignment="1" applyProtection="1">
      <alignment vertical="center" wrapText="1"/>
      <protection locked="0"/>
    </xf>
    <xf numFmtId="44" fontId="8" fillId="6" borderId="27" xfId="1" applyFont="1" applyFill="1" applyBorder="1" applyAlignment="1" applyProtection="1">
      <alignment vertical="center" wrapText="1"/>
    </xf>
    <xf numFmtId="44" fontId="11" fillId="6" borderId="27" xfId="1" applyFont="1" applyFill="1" applyBorder="1" applyAlignment="1" applyProtection="1">
      <alignment vertical="center" wrapText="1"/>
    </xf>
    <xf numFmtId="44" fontId="4" fillId="6" borderId="27" xfId="1" applyFont="1" applyFill="1" applyBorder="1" applyAlignment="1" applyProtection="1">
      <alignment vertical="center" wrapText="1"/>
    </xf>
    <xf numFmtId="44" fontId="8" fillId="0" borderId="28" xfId="1" applyFont="1" applyBorder="1" applyAlignment="1" applyProtection="1">
      <alignment horizontal="center" vertical="center" wrapText="1"/>
      <protection locked="0"/>
    </xf>
    <xf numFmtId="0" fontId="8" fillId="0" borderId="29" xfId="0" applyFont="1" applyBorder="1" applyAlignment="1">
      <alignment horizontal="center" vertical="center" wrapText="1"/>
    </xf>
    <xf numFmtId="0" fontId="10" fillId="7" borderId="30" xfId="0" applyFont="1" applyFill="1" applyBorder="1" applyAlignment="1">
      <alignment vertical="center" wrapText="1"/>
    </xf>
    <xf numFmtId="44" fontId="5" fillId="4" borderId="31" xfId="1" applyFont="1" applyFill="1" applyBorder="1" applyAlignment="1" applyProtection="1">
      <alignment vertical="center" wrapText="1"/>
      <protection locked="0"/>
    </xf>
    <xf numFmtId="0" fontId="10" fillId="7" borderId="32" xfId="0" applyFont="1" applyFill="1" applyBorder="1" applyAlignment="1">
      <alignment vertical="center" wrapText="1"/>
    </xf>
    <xf numFmtId="44" fontId="5" fillId="4" borderId="33" xfId="1" applyFont="1" applyFill="1" applyBorder="1" applyAlignment="1" applyProtection="1">
      <alignment vertical="center" wrapText="1"/>
      <protection locked="0"/>
    </xf>
    <xf numFmtId="0" fontId="10" fillId="7" borderId="34" xfId="0" applyFont="1" applyFill="1" applyBorder="1" applyAlignment="1">
      <alignment vertical="center" wrapText="1"/>
    </xf>
    <xf numFmtId="44" fontId="5" fillId="4" borderId="35" xfId="1" applyFont="1" applyFill="1" applyBorder="1" applyAlignment="1" applyProtection="1">
      <alignment vertical="center" wrapText="1"/>
      <protection locked="0"/>
    </xf>
    <xf numFmtId="0" fontId="4" fillId="7" borderId="36" xfId="0" applyFont="1" applyFill="1" applyBorder="1" applyAlignment="1">
      <alignment vertical="center" wrapText="1"/>
    </xf>
    <xf numFmtId="44" fontId="4" fillId="4" borderId="37" xfId="1" applyFont="1" applyFill="1" applyBorder="1" applyAlignment="1" applyProtection="1">
      <alignment vertical="center" wrapText="1"/>
    </xf>
    <xf numFmtId="44" fontId="4" fillId="4" borderId="38" xfId="1" applyFont="1" applyFill="1" applyBorder="1" applyAlignment="1" applyProtection="1">
      <alignment vertical="center" wrapText="1"/>
    </xf>
    <xf numFmtId="44" fontId="4" fillId="6" borderId="37" xfId="1" applyFont="1" applyFill="1" applyBorder="1" applyAlignment="1" applyProtection="1">
      <alignment vertical="center" wrapText="1"/>
    </xf>
    <xf numFmtId="44" fontId="11" fillId="6" borderId="37" xfId="1" applyFont="1" applyFill="1" applyBorder="1" applyAlignment="1" applyProtection="1">
      <alignment vertical="center" wrapText="1"/>
    </xf>
    <xf numFmtId="44" fontId="4" fillId="6" borderId="39" xfId="1" applyFont="1" applyFill="1" applyBorder="1" applyAlignment="1" applyProtection="1">
      <alignment vertical="center" wrapText="1"/>
    </xf>
    <xf numFmtId="0" fontId="4" fillId="0" borderId="40" xfId="0" applyFont="1" applyBorder="1" applyAlignment="1">
      <alignment horizontal="center" vertical="center" wrapText="1"/>
    </xf>
    <xf numFmtId="44" fontId="12" fillId="4" borderId="23" xfId="1" applyFont="1" applyFill="1" applyBorder="1" applyAlignment="1" applyProtection="1">
      <alignment vertical="center" wrapText="1"/>
    </xf>
    <xf numFmtId="44" fontId="12" fillId="4" borderId="31" xfId="1" applyFont="1" applyFill="1" applyBorder="1" applyAlignment="1" applyProtection="1">
      <alignment vertical="center" wrapText="1"/>
    </xf>
    <xf numFmtId="44" fontId="12" fillId="6" borderId="23" xfId="1" applyFont="1" applyFill="1" applyBorder="1" applyAlignment="1" applyProtection="1">
      <alignment vertical="center" wrapText="1"/>
    </xf>
    <xf numFmtId="44" fontId="13" fillId="6" borderId="41" xfId="1" applyFont="1" applyFill="1" applyBorder="1" applyAlignment="1" applyProtection="1">
      <alignment vertical="center" wrapText="1"/>
    </xf>
    <xf numFmtId="44" fontId="12" fillId="6" borderId="42" xfId="1" applyFont="1" applyFill="1" applyBorder="1" applyAlignment="1" applyProtection="1">
      <alignment vertical="center" wrapText="1"/>
    </xf>
    <xf numFmtId="44" fontId="12" fillId="6" borderId="43" xfId="1" applyFont="1" applyFill="1" applyBorder="1" applyAlignment="1" applyProtection="1">
      <alignment vertical="center" wrapText="1"/>
    </xf>
    <xf numFmtId="0" fontId="12" fillId="0" borderId="44" xfId="0" applyFont="1" applyBorder="1" applyAlignment="1">
      <alignment horizontal="center" vertical="center" wrapText="1"/>
    </xf>
    <xf numFmtId="44" fontId="8" fillId="6" borderId="35" xfId="1" applyFont="1" applyFill="1" applyBorder="1" applyAlignment="1" applyProtection="1">
      <alignment vertical="center" wrapText="1"/>
    </xf>
    <xf numFmtId="44" fontId="11" fillId="6" borderId="28" xfId="1" applyFont="1" applyFill="1" applyBorder="1" applyAlignment="1" applyProtection="1">
      <alignment vertical="center" wrapText="1"/>
    </xf>
    <xf numFmtId="44" fontId="8" fillId="6" borderId="45" xfId="1" applyFont="1" applyFill="1" applyBorder="1" applyAlignment="1" applyProtection="1">
      <alignment vertical="center" wrapText="1"/>
    </xf>
    <xf numFmtId="44" fontId="8" fillId="6" borderId="46" xfId="1" applyFont="1" applyFill="1" applyBorder="1" applyAlignment="1" applyProtection="1">
      <alignment vertical="center" wrapText="1"/>
    </xf>
    <xf numFmtId="0" fontId="8" fillId="0" borderId="47" xfId="0" applyFont="1" applyBorder="1" applyAlignment="1">
      <alignment horizontal="center" vertical="center" wrapText="1"/>
    </xf>
    <xf numFmtId="0" fontId="10" fillId="7" borderId="36" xfId="0" applyFont="1" applyFill="1" applyBorder="1" applyAlignment="1">
      <alignment vertical="center" wrapText="1"/>
    </xf>
    <xf numFmtId="44" fontId="5" fillId="4" borderId="38" xfId="1" applyFont="1" applyFill="1" applyBorder="1" applyAlignment="1" applyProtection="1">
      <alignment vertical="center" wrapText="1"/>
      <protection locked="0"/>
    </xf>
    <xf numFmtId="44" fontId="8" fillId="6" borderId="38" xfId="1" applyFont="1" applyFill="1" applyBorder="1" applyAlignment="1" applyProtection="1">
      <alignment vertical="center" wrapText="1"/>
    </xf>
    <xf numFmtId="44" fontId="11" fillId="6" borderId="48" xfId="1" applyFont="1" applyFill="1" applyBorder="1" applyAlignment="1" applyProtection="1">
      <alignment vertical="center" wrapText="1"/>
    </xf>
    <xf numFmtId="44" fontId="4" fillId="6" borderId="38" xfId="1" applyFont="1" applyFill="1" applyBorder="1" applyAlignment="1" applyProtection="1">
      <alignment vertical="center" wrapText="1"/>
    </xf>
    <xf numFmtId="44" fontId="8" fillId="6" borderId="49" xfId="1" applyFont="1" applyFill="1" applyBorder="1" applyAlignment="1" applyProtection="1">
      <alignment vertical="center" wrapText="1"/>
    </xf>
    <xf numFmtId="44" fontId="8" fillId="6" borderId="0" xfId="1" applyFont="1" applyFill="1" applyBorder="1" applyAlignment="1" applyProtection="1">
      <alignment vertical="center" wrapText="1"/>
    </xf>
    <xf numFmtId="0" fontId="8" fillId="0" borderId="50" xfId="0" applyFont="1" applyBorder="1" applyAlignment="1">
      <alignment horizontal="center" vertical="center" wrapText="1"/>
    </xf>
    <xf numFmtId="0" fontId="4" fillId="8" borderId="15" xfId="0" applyFont="1" applyFill="1" applyBorder="1" applyAlignment="1">
      <alignment vertical="center" wrapText="1"/>
    </xf>
    <xf numFmtId="44" fontId="14" fillId="0" borderId="51" xfId="1" applyFont="1" applyBorder="1" applyAlignment="1" applyProtection="1">
      <alignment vertical="center" wrapText="1"/>
    </xf>
    <xf numFmtId="44" fontId="14" fillId="0" borderId="52" xfId="1" applyFont="1" applyBorder="1" applyAlignment="1" applyProtection="1">
      <alignment vertical="center" wrapText="1"/>
    </xf>
    <xf numFmtId="44" fontId="14" fillId="6" borderId="52" xfId="1" applyFont="1" applyFill="1" applyBorder="1" applyAlignment="1" applyProtection="1">
      <alignment vertical="center" wrapText="1"/>
    </xf>
    <xf numFmtId="44" fontId="11" fillId="6" borderId="52" xfId="1" applyFont="1" applyFill="1" applyBorder="1" applyAlignment="1" applyProtection="1">
      <alignment vertical="center" wrapText="1"/>
    </xf>
    <xf numFmtId="44" fontId="4" fillId="6" borderId="52" xfId="1" applyFont="1" applyFill="1" applyBorder="1" applyAlignment="1" applyProtection="1">
      <alignment vertical="center" wrapText="1"/>
    </xf>
    <xf numFmtId="44" fontId="14" fillId="6" borderId="51" xfId="1" applyFont="1" applyFill="1" applyBorder="1" applyAlignment="1" applyProtection="1">
      <alignment vertical="center" wrapText="1"/>
    </xf>
    <xf numFmtId="0" fontId="14" fillId="0" borderId="53" xfId="0" applyFont="1" applyBorder="1" applyAlignment="1">
      <alignment horizontal="center" vertical="center" wrapText="1"/>
    </xf>
    <xf numFmtId="0" fontId="0" fillId="0" borderId="0" xfId="0" applyProtection="1">
      <protection locked="0"/>
    </xf>
    <xf numFmtId="0" fontId="6" fillId="2" borderId="2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3" fillId="0" borderId="54" xfId="0" applyFont="1" applyBorder="1" applyAlignment="1">
      <alignment horizontal="center"/>
    </xf>
    <xf numFmtId="0" fontId="16" fillId="9" borderId="55" xfId="3" applyFont="1" applyFill="1" applyBorder="1" applyAlignment="1">
      <alignment horizontal="left"/>
    </xf>
    <xf numFmtId="0" fontId="16" fillId="9" borderId="56" xfId="3" applyFont="1" applyFill="1" applyBorder="1" applyAlignment="1">
      <alignment horizontal="left"/>
    </xf>
    <xf numFmtId="0" fontId="16" fillId="9" borderId="57" xfId="3" applyFont="1" applyFill="1" applyBorder="1" applyAlignment="1">
      <alignment horizontal="left"/>
    </xf>
    <xf numFmtId="49" fontId="0" fillId="0" borderId="58" xfId="0" applyNumberFormat="1" applyBorder="1" applyAlignment="1" applyProtection="1">
      <alignment horizontal="center" vertical="center"/>
      <protection locked="0"/>
    </xf>
    <xf numFmtId="49" fontId="0" fillId="0" borderId="59" xfId="0" applyNumberFormat="1" applyBorder="1" applyAlignment="1" applyProtection="1">
      <alignment horizontal="center" vertical="center"/>
      <protection locked="0"/>
    </xf>
    <xf numFmtId="49" fontId="0" fillId="0" borderId="60" xfId="0" applyNumberFormat="1" applyBorder="1" applyAlignment="1" applyProtection="1">
      <alignment horizontal="center" vertical="center"/>
      <protection locked="0"/>
    </xf>
    <xf numFmtId="0" fontId="21" fillId="0" borderId="54" xfId="0" applyFont="1" applyBorder="1" applyAlignment="1">
      <alignment horizontal="right"/>
    </xf>
    <xf numFmtId="0" fontId="5" fillId="4" borderId="0" xfId="0" applyFont="1" applyFill="1" applyAlignment="1" applyProtection="1">
      <alignment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4" fillId="3" borderId="0" xfId="0" applyFont="1" applyFill="1" applyAlignment="1">
      <alignment horizontal="center" vertical="center" wrapText="1"/>
    </xf>
    <xf numFmtId="44" fontId="8" fillId="6" borderId="11" xfId="1" applyFont="1" applyFill="1" applyBorder="1" applyAlignment="1" applyProtection="1">
      <alignment horizontal="center" vertical="center" wrapText="1"/>
    </xf>
    <xf numFmtId="44" fontId="8" fillId="6" borderId="14" xfId="1" applyFont="1" applyFill="1" applyBorder="1" applyAlignment="1" applyProtection="1">
      <alignment horizontal="center" vertical="center" wrapText="1"/>
    </xf>
    <xf numFmtId="0" fontId="5" fillId="4" borderId="18" xfId="0" applyFont="1" applyFill="1" applyBorder="1" applyAlignment="1" applyProtection="1">
      <alignment vertical="center" wrapText="1"/>
      <protection locked="0"/>
    </xf>
    <xf numFmtId="0" fontId="3" fillId="0" borderId="18" xfId="0" applyFont="1" applyBorder="1" applyAlignment="1" applyProtection="1">
      <alignment vertical="center" wrapText="1"/>
      <protection locked="0"/>
    </xf>
    <xf numFmtId="0" fontId="4" fillId="3" borderId="18" xfId="0" applyFont="1" applyFill="1" applyBorder="1" applyAlignment="1">
      <alignment horizontal="center" vertical="center" wrapText="1"/>
    </xf>
    <xf numFmtId="10" fontId="8" fillId="0" borderId="0" xfId="2" applyNumberFormat="1" applyFont="1" applyBorder="1" applyAlignment="1" applyProtection="1">
      <alignment horizontal="center" vertical="center" wrapText="1"/>
      <protection locked="0"/>
    </xf>
    <xf numFmtId="10" fontId="8" fillId="0" borderId="13" xfId="2" applyNumberFormat="1" applyFont="1" applyBorder="1" applyAlignment="1" applyProtection="1">
      <alignment horizontal="center" vertical="center" wrapText="1"/>
      <protection locked="0"/>
    </xf>
    <xf numFmtId="14" fontId="5" fillId="4" borderId="10" xfId="0" applyNumberFormat="1" applyFont="1" applyFill="1" applyBorder="1" applyAlignment="1" applyProtection="1">
      <alignment vertical="center" wrapText="1"/>
      <protection locked="0"/>
    </xf>
    <xf numFmtId="0" fontId="3" fillId="0" borderId="10" xfId="0" applyFont="1" applyBorder="1" applyAlignment="1" applyProtection="1">
      <alignment vertical="center" wrapText="1"/>
      <protection locked="0"/>
    </xf>
    <xf numFmtId="0" fontId="4" fillId="3" borderId="11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14" fontId="5" fillId="4" borderId="11" xfId="0" applyNumberFormat="1" applyFont="1" applyFill="1" applyBorder="1" applyAlignment="1" applyProtection="1">
      <alignment vertical="center" wrapText="1"/>
      <protection locked="0"/>
    </xf>
    <xf numFmtId="0" fontId="3" fillId="0" borderId="11" xfId="0" applyFont="1" applyBorder="1" applyAlignment="1" applyProtection="1">
      <alignment vertical="center" wrapText="1"/>
      <protection locked="0"/>
    </xf>
    <xf numFmtId="1" fontId="8" fillId="6" borderId="11" xfId="0" applyNumberFormat="1" applyFont="1" applyFill="1" applyBorder="1" applyAlignment="1">
      <alignment horizontal="center" vertical="center" wrapText="1"/>
    </xf>
    <xf numFmtId="1" fontId="8" fillId="6" borderId="14" xfId="0" applyNumberFormat="1" applyFont="1" applyFill="1" applyBorder="1" applyAlignment="1">
      <alignment horizontal="center" vertical="center" wrapText="1"/>
    </xf>
    <xf numFmtId="0" fontId="5" fillId="4" borderId="10" xfId="0" applyFont="1" applyFill="1" applyBorder="1" applyAlignment="1" applyProtection="1">
      <alignment vertical="center" wrapText="1"/>
      <protection locked="0"/>
    </xf>
    <xf numFmtId="14" fontId="8" fillId="6" borderId="10" xfId="0" applyNumberFormat="1" applyFont="1" applyFill="1" applyBorder="1" applyAlignment="1">
      <alignment horizontal="center" vertical="center" wrapText="1"/>
    </xf>
    <xf numFmtId="14" fontId="8" fillId="6" borderId="12" xfId="0" applyNumberFormat="1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 vertical="center" wrapText="1"/>
    </xf>
    <xf numFmtId="14" fontId="8" fillId="0" borderId="10" xfId="0" applyNumberFormat="1" applyFont="1" applyBorder="1" applyAlignment="1" applyProtection="1">
      <alignment horizontal="center" vertical="center" wrapText="1"/>
      <protection locked="0"/>
    </xf>
    <xf numFmtId="14" fontId="8" fillId="0" borderId="12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Protection="1"/>
    <xf numFmtId="0" fontId="18" fillId="0" borderId="0" xfId="3" applyFont="1" applyProtection="1"/>
    <xf numFmtId="0" fontId="0" fillId="0" borderId="0" xfId="0" applyProtection="1"/>
  </cellXfs>
  <cellStyles count="4">
    <cellStyle name="Currency" xfId="1" builtinId="4"/>
    <cellStyle name="Normal" xfId="0" builtinId="0"/>
    <cellStyle name="Normal 2" xfId="3" xr:uid="{6836541F-B431-4B54-A748-DF50E10E2D9A}"/>
    <cellStyle name="Percent" xfId="2" builtinId="5"/>
  </cellStyles>
  <dxfs count="6">
    <dxf>
      <fill>
        <patternFill patternType="solid">
          <fgColor rgb="FFFFF2CC"/>
        </patternFill>
      </fill>
    </dxf>
    <dxf>
      <fill>
        <patternFill patternType="solid">
          <fgColor rgb="FFFDE9E7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DE9E7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7251-55C8-484D-B2E6-7433C7A3651D}">
  <dimension ref="A1:M50"/>
  <sheetViews>
    <sheetView tabSelected="1" workbookViewId="0">
      <selection activeCell="B2" sqref="B2:D2"/>
    </sheetView>
  </sheetViews>
  <sheetFormatPr defaultRowHeight="15" x14ac:dyDescent="0.25"/>
  <cols>
    <col min="1" max="1" width="31.7109375" customWidth="1"/>
    <col min="2" max="5" width="24.7109375" customWidth="1"/>
    <col min="6" max="7" width="26.7109375" customWidth="1"/>
    <col min="8" max="10" width="24.7109375" customWidth="1"/>
    <col min="12" max="13" width="18.7109375" customWidth="1"/>
  </cols>
  <sheetData>
    <row r="1" spans="1:13" s="1" customFormat="1" ht="21.75" customHeight="1" thickBot="1" x14ac:dyDescent="0.25">
      <c r="A1" s="101" t="s">
        <v>0</v>
      </c>
      <c r="B1" s="102"/>
      <c r="C1" s="102"/>
      <c r="D1" s="102"/>
      <c r="E1" s="102"/>
      <c r="F1" s="102"/>
      <c r="G1" s="102"/>
      <c r="H1" s="102"/>
      <c r="I1" s="102"/>
      <c r="J1" s="103"/>
      <c r="K1" s="109"/>
    </row>
    <row r="2" spans="1:13" s="1" customFormat="1" ht="14.25" x14ac:dyDescent="0.2">
      <c r="A2" s="2" t="s">
        <v>1</v>
      </c>
      <c r="B2" s="77"/>
      <c r="C2" s="78"/>
      <c r="D2" s="78"/>
      <c r="E2" s="3"/>
      <c r="F2" s="67" t="s">
        <v>2</v>
      </c>
      <c r="G2" s="67"/>
      <c r="H2" s="67"/>
      <c r="I2" s="67"/>
      <c r="J2" s="68"/>
      <c r="K2" s="109"/>
      <c r="L2" s="104" t="s">
        <v>3</v>
      </c>
      <c r="M2" s="105"/>
    </row>
    <row r="3" spans="1:13" s="1" customFormat="1" ht="14.25" x14ac:dyDescent="0.2">
      <c r="A3" s="4" t="s">
        <v>4</v>
      </c>
      <c r="B3" s="96"/>
      <c r="C3" s="88"/>
      <c r="D3" s="88"/>
      <c r="E3" s="5"/>
      <c r="F3" s="106" t="s">
        <v>5</v>
      </c>
      <c r="G3" s="106"/>
      <c r="H3" s="107"/>
      <c r="I3" s="107"/>
      <c r="J3" s="108"/>
      <c r="K3" s="109"/>
      <c r="L3" s="6" t="s">
        <v>6</v>
      </c>
      <c r="M3" s="7" cm="1">
        <f t="array" ref="M3">SUMPRODUCT((I12:I26="Yes")*(B12:B26))-IF(I20="Yes",MAX(B20-25000,0),0)</f>
        <v>0</v>
      </c>
    </row>
    <row r="4" spans="1:13" s="1" customFormat="1" ht="14.25" x14ac:dyDescent="0.2">
      <c r="A4" s="4" t="s">
        <v>7</v>
      </c>
      <c r="B4" s="96"/>
      <c r="C4" s="88"/>
      <c r="D4" s="88"/>
      <c r="E4" s="5"/>
      <c r="F4" s="89" t="s">
        <v>8</v>
      </c>
      <c r="G4" s="89"/>
      <c r="H4" s="97">
        <f ca="1">TODAY()</f>
        <v>46119</v>
      </c>
      <c r="I4" s="97"/>
      <c r="J4" s="98"/>
      <c r="K4" s="109"/>
      <c r="L4" s="6" t="s">
        <v>9</v>
      </c>
      <c r="M4" s="7" cm="1">
        <f t="array" ref="M4">SUMPRODUCT((I12:I26="Yes")*(C12:C26))-IF(I20="Yes",MAX(C20-25000,0),0)</f>
        <v>0</v>
      </c>
    </row>
    <row r="5" spans="1:13" s="1" customFormat="1" thickBot="1" x14ac:dyDescent="0.25">
      <c r="A5" s="4" t="s">
        <v>10</v>
      </c>
      <c r="B5" s="96"/>
      <c r="C5" s="88"/>
      <c r="D5" s="88"/>
      <c r="E5" s="5"/>
      <c r="F5" s="89" t="s">
        <v>11</v>
      </c>
      <c r="G5" s="89"/>
      <c r="H5" s="99" t="str">
        <f ca="1">IF(B7="","",B7-TODAY())</f>
        <v/>
      </c>
      <c r="I5" s="99"/>
      <c r="J5" s="100"/>
      <c r="K5" s="109"/>
      <c r="L5" s="8" t="s">
        <v>12</v>
      </c>
      <c r="M5" s="9" cm="1">
        <f t="array" ref="M5">SUMPRODUCT((I12:I26="Yes")*(D12:D26))-IF(I20="Yes",MAX(D20-25000,0),0)</f>
        <v>0</v>
      </c>
    </row>
    <row r="6" spans="1:13" s="1" customFormat="1" ht="14.25" x14ac:dyDescent="0.2">
      <c r="A6" s="2" t="s">
        <v>13</v>
      </c>
      <c r="B6" s="87"/>
      <c r="C6" s="88"/>
      <c r="D6" s="88"/>
      <c r="E6" s="3"/>
      <c r="F6" s="89" t="s">
        <v>14</v>
      </c>
      <c r="G6" s="89"/>
      <c r="H6" s="90" t="str">
        <f ca="1">IF(B7="","",IF(B7&lt;TODAY(),"Ended",IF(B7-TODAY()&lt;=90,"Yes","No")))</f>
        <v/>
      </c>
      <c r="I6" s="90"/>
      <c r="J6" s="91"/>
      <c r="K6" s="109"/>
    </row>
    <row r="7" spans="1:13" s="1" customFormat="1" ht="14.25" x14ac:dyDescent="0.2">
      <c r="A7" s="4" t="s">
        <v>15</v>
      </c>
      <c r="B7" s="92"/>
      <c r="C7" s="93"/>
      <c r="D7" s="93"/>
      <c r="E7" s="5"/>
      <c r="F7" s="89" t="s">
        <v>16</v>
      </c>
      <c r="G7" s="89"/>
      <c r="H7" s="94">
        <f>COUNTIF(F12:F26,"&gt;0")+COUNTIF(G12:G26,"&gt;0")+COUNTIF(F29:F30,"&gt;0")+COUNTIF(G29:G30,"&gt;0")</f>
        <v>0</v>
      </c>
      <c r="I7" s="94"/>
      <c r="J7" s="95"/>
      <c r="K7" s="109"/>
    </row>
    <row r="8" spans="1:13" s="1" customFormat="1" ht="14.25" x14ac:dyDescent="0.2">
      <c r="A8" s="4" t="s">
        <v>17</v>
      </c>
      <c r="B8" s="77"/>
      <c r="C8" s="78"/>
      <c r="D8" s="78"/>
      <c r="E8" s="5"/>
      <c r="F8" s="79" t="s">
        <v>18</v>
      </c>
      <c r="G8" s="79"/>
      <c r="H8" s="80">
        <f>SUM(F12:F26)+SUM(F29:F30)+SUM(G12:G26)+SUM(G29:G30)</f>
        <v>0</v>
      </c>
      <c r="I8" s="80"/>
      <c r="J8" s="81"/>
      <c r="K8" s="109"/>
    </row>
    <row r="9" spans="1:13" s="1" customFormat="1" ht="28.5" x14ac:dyDescent="0.2">
      <c r="A9" s="10" t="s">
        <v>19</v>
      </c>
      <c r="B9" s="82"/>
      <c r="C9" s="83"/>
      <c r="D9" s="83"/>
      <c r="E9" s="11"/>
      <c r="F9" s="84" t="s">
        <v>20</v>
      </c>
      <c r="G9" s="84"/>
      <c r="H9" s="85"/>
      <c r="I9" s="85"/>
      <c r="J9" s="86"/>
      <c r="K9" s="109"/>
    </row>
    <row r="10" spans="1:13" s="1" customFormat="1" ht="14.25" x14ac:dyDescent="0.2">
      <c r="A10" s="66" t="s">
        <v>21</v>
      </c>
      <c r="B10" s="67"/>
      <c r="C10" s="67"/>
      <c r="D10" s="67"/>
      <c r="E10" s="67"/>
      <c r="F10" s="67"/>
      <c r="G10" s="67"/>
      <c r="H10" s="67"/>
      <c r="I10" s="67"/>
      <c r="J10" s="68"/>
      <c r="K10" s="109"/>
    </row>
    <row r="11" spans="1:13" s="1" customFormat="1" ht="15" customHeight="1" x14ac:dyDescent="0.2">
      <c r="A11" s="12" t="s">
        <v>22</v>
      </c>
      <c r="B11" s="13" t="s">
        <v>23</v>
      </c>
      <c r="C11" s="13" t="s">
        <v>24</v>
      </c>
      <c r="D11" s="13" t="s">
        <v>25</v>
      </c>
      <c r="E11" s="13" t="s">
        <v>26</v>
      </c>
      <c r="F11" s="14" t="s">
        <v>27</v>
      </c>
      <c r="G11" s="14" t="s">
        <v>28</v>
      </c>
      <c r="H11" s="13" t="s">
        <v>29</v>
      </c>
      <c r="I11" s="15" t="s">
        <v>30</v>
      </c>
      <c r="J11" s="16" t="s">
        <v>31</v>
      </c>
      <c r="K11" s="109"/>
    </row>
    <row r="12" spans="1:13" s="1" customFormat="1" ht="14.25" x14ac:dyDescent="0.2">
      <c r="A12" s="17" t="s">
        <v>32</v>
      </c>
      <c r="B12" s="18"/>
      <c r="C12" s="18"/>
      <c r="D12" s="18"/>
      <c r="E12" s="19" t="str">
        <f>IF(D12="","",IF(C12&lt;&gt;"",C12,D12*0+B12)-D12)</f>
        <v/>
      </c>
      <c r="F12" s="20" t="str">
        <f>IF(OR(B12="",C12=""),"",IF(C12&lt;B12,B12-C12,""))</f>
        <v/>
      </c>
      <c r="G12" s="21" t="str">
        <f>IF(OR(B12="",C12=""),"",IF(C12&gt;B12,C12-B12,""))</f>
        <v/>
      </c>
      <c r="H12" s="19" t="str">
        <f>IF(B12="","",B12-IF(F12="",0,F12)+IF(G12="",0,G12))</f>
        <v/>
      </c>
      <c r="I12" s="22" t="s">
        <v>33</v>
      </c>
      <c r="J12" s="23" t="str">
        <f>IF(AND(B12="",C12="",D12=""),"",IF(E12&lt;0,"Overspent",IF(AND(F12="",G12=""),"No Change",IF(H12&lt;&gt;C12,"Check Balance","Rebudgeted"))))</f>
        <v/>
      </c>
      <c r="K12" s="109"/>
    </row>
    <row r="13" spans="1:13" s="1" customFormat="1" ht="14.25" x14ac:dyDescent="0.2">
      <c r="A13" s="17" t="s">
        <v>34</v>
      </c>
      <c r="B13" s="18"/>
      <c r="C13" s="18"/>
      <c r="D13" s="18"/>
      <c r="E13" s="19" t="str">
        <f t="shared" ref="E13:E26" si="0">IF(D13="","",IF(C13&lt;&gt;"",C13,D13*0+B13)-D13)</f>
        <v/>
      </c>
      <c r="F13" s="20" t="str">
        <f t="shared" ref="F13:F26" si="1">IF(OR(B13="",C13=""),"",IF(C13&lt;B13,B13-C13,""))</f>
        <v/>
      </c>
      <c r="G13" s="21" t="str">
        <f t="shared" ref="G13:G26" si="2">IF(OR(B13="",C13=""),"",IF(C13&gt;B13,C13-B13,""))</f>
        <v/>
      </c>
      <c r="H13" s="19" t="str">
        <f t="shared" ref="H13:H30" si="3">IF(B13="","",B13-IF(F13="",0,F13)+IF(G13="",0,G13))</f>
        <v/>
      </c>
      <c r="I13" s="22" t="s">
        <v>33</v>
      </c>
      <c r="J13" s="23" t="str">
        <f t="shared" ref="J13:J26" si="4">IF(AND(B13="",C13="",D13=""),"",IF(E13&lt;0,"Overspent",IF(AND(F13="",G13=""),"No Change",IF(H13&lt;&gt;C13,"Check Balance","Rebudgeted"))))</f>
        <v/>
      </c>
      <c r="K13" s="109"/>
    </row>
    <row r="14" spans="1:13" s="1" customFormat="1" ht="14.25" x14ac:dyDescent="0.2">
      <c r="A14" s="17" t="s">
        <v>35</v>
      </c>
      <c r="B14" s="18"/>
      <c r="C14" s="18"/>
      <c r="D14" s="18"/>
      <c r="E14" s="19" t="str">
        <f t="shared" si="0"/>
        <v/>
      </c>
      <c r="F14" s="20" t="str">
        <f t="shared" si="1"/>
        <v/>
      </c>
      <c r="G14" s="21" t="str">
        <f t="shared" si="2"/>
        <v/>
      </c>
      <c r="H14" s="19" t="str">
        <f t="shared" si="3"/>
        <v/>
      </c>
      <c r="I14" s="22" t="s">
        <v>33</v>
      </c>
      <c r="J14" s="23" t="str">
        <f t="shared" si="4"/>
        <v/>
      </c>
      <c r="K14" s="109"/>
    </row>
    <row r="15" spans="1:13" s="1" customFormat="1" ht="14.25" x14ac:dyDescent="0.2">
      <c r="A15" s="24" t="s">
        <v>36</v>
      </c>
      <c r="B15" s="25"/>
      <c r="C15" s="25"/>
      <c r="D15" s="25"/>
      <c r="E15" s="19" t="str">
        <f t="shared" si="0"/>
        <v/>
      </c>
      <c r="F15" s="20" t="str">
        <f t="shared" si="1"/>
        <v/>
      </c>
      <c r="G15" s="21" t="str">
        <f t="shared" si="2"/>
        <v/>
      </c>
      <c r="H15" s="19" t="str">
        <f t="shared" si="3"/>
        <v/>
      </c>
      <c r="I15" s="22" t="s">
        <v>33</v>
      </c>
      <c r="J15" s="23" t="str">
        <f t="shared" si="4"/>
        <v/>
      </c>
      <c r="K15" s="109"/>
    </row>
    <row r="16" spans="1:13" s="1" customFormat="1" ht="14.25" x14ac:dyDescent="0.2">
      <c r="A16" s="26" t="s">
        <v>37</v>
      </c>
      <c r="B16" s="27"/>
      <c r="C16" s="27"/>
      <c r="D16" s="27"/>
      <c r="E16" s="19" t="str">
        <f t="shared" si="0"/>
        <v/>
      </c>
      <c r="F16" s="20" t="str">
        <f t="shared" si="1"/>
        <v/>
      </c>
      <c r="G16" s="21" t="str">
        <f t="shared" si="2"/>
        <v/>
      </c>
      <c r="H16" s="19" t="str">
        <f t="shared" si="3"/>
        <v/>
      </c>
      <c r="I16" s="22" t="s">
        <v>33</v>
      </c>
      <c r="J16" s="23" t="str">
        <f t="shared" si="4"/>
        <v/>
      </c>
      <c r="K16" s="109"/>
    </row>
    <row r="17" spans="1:11" s="1" customFormat="1" ht="14.25" x14ac:dyDescent="0.2">
      <c r="A17" s="17" t="s">
        <v>38</v>
      </c>
      <c r="B17" s="18"/>
      <c r="C17" s="18"/>
      <c r="D17" s="18"/>
      <c r="E17" s="19" t="str">
        <f t="shared" si="0"/>
        <v/>
      </c>
      <c r="F17" s="20" t="str">
        <f t="shared" si="1"/>
        <v/>
      </c>
      <c r="G17" s="21" t="str">
        <f t="shared" si="2"/>
        <v/>
      </c>
      <c r="H17" s="19" t="str">
        <f t="shared" si="3"/>
        <v/>
      </c>
      <c r="I17" s="22" t="s">
        <v>33</v>
      </c>
      <c r="J17" s="23" t="str">
        <f t="shared" si="4"/>
        <v/>
      </c>
      <c r="K17" s="109"/>
    </row>
    <row r="18" spans="1:11" s="1" customFormat="1" ht="15" customHeight="1" x14ac:dyDescent="0.2">
      <c r="A18" s="17" t="s">
        <v>39</v>
      </c>
      <c r="B18" s="18"/>
      <c r="C18" s="18"/>
      <c r="D18" s="18"/>
      <c r="E18" s="19" t="str">
        <f t="shared" si="0"/>
        <v/>
      </c>
      <c r="F18" s="20" t="str">
        <f t="shared" si="1"/>
        <v/>
      </c>
      <c r="G18" s="21" t="str">
        <f t="shared" si="2"/>
        <v/>
      </c>
      <c r="H18" s="19" t="str">
        <f t="shared" si="3"/>
        <v/>
      </c>
      <c r="I18" s="22" t="s">
        <v>33</v>
      </c>
      <c r="J18" s="23" t="str">
        <f t="shared" si="4"/>
        <v/>
      </c>
      <c r="K18" s="109"/>
    </row>
    <row r="19" spans="1:11" s="1" customFormat="1" ht="14.25" x14ac:dyDescent="0.2">
      <c r="A19" s="17" t="s">
        <v>40</v>
      </c>
      <c r="B19" s="18"/>
      <c r="C19" s="18"/>
      <c r="D19" s="18"/>
      <c r="E19" s="19" t="str">
        <f t="shared" si="0"/>
        <v/>
      </c>
      <c r="F19" s="20" t="str">
        <f t="shared" si="1"/>
        <v/>
      </c>
      <c r="G19" s="21" t="str">
        <f t="shared" si="2"/>
        <v/>
      </c>
      <c r="H19" s="19" t="str">
        <f t="shared" si="3"/>
        <v/>
      </c>
      <c r="I19" s="22" t="s">
        <v>33</v>
      </c>
      <c r="J19" s="23" t="str">
        <f t="shared" si="4"/>
        <v/>
      </c>
      <c r="K19" s="109"/>
    </row>
    <row r="20" spans="1:11" s="1" customFormat="1" ht="14.25" x14ac:dyDescent="0.2">
      <c r="A20" s="17" t="s">
        <v>41</v>
      </c>
      <c r="B20" s="18"/>
      <c r="C20" s="18"/>
      <c r="D20" s="18"/>
      <c r="E20" s="19" t="str">
        <f t="shared" si="0"/>
        <v/>
      </c>
      <c r="F20" s="20" t="str">
        <f t="shared" si="1"/>
        <v/>
      </c>
      <c r="G20" s="21" t="str">
        <f t="shared" si="2"/>
        <v/>
      </c>
      <c r="H20" s="19" t="str">
        <f t="shared" si="3"/>
        <v/>
      </c>
      <c r="I20" s="22" t="s">
        <v>33</v>
      </c>
      <c r="J20" s="23" t="str">
        <f t="shared" si="4"/>
        <v/>
      </c>
      <c r="K20" s="109"/>
    </row>
    <row r="21" spans="1:11" s="1" customFormat="1" ht="14.25" x14ac:dyDescent="0.2">
      <c r="A21" s="17" t="s">
        <v>42</v>
      </c>
      <c r="B21" s="18"/>
      <c r="C21" s="18"/>
      <c r="D21" s="18"/>
      <c r="E21" s="19" t="str">
        <f t="shared" si="0"/>
        <v/>
      </c>
      <c r="F21" s="20" t="str">
        <f t="shared" si="1"/>
        <v/>
      </c>
      <c r="G21" s="21" t="str">
        <f t="shared" si="2"/>
        <v/>
      </c>
      <c r="H21" s="19" t="str">
        <f t="shared" si="3"/>
        <v/>
      </c>
      <c r="I21" s="22" t="s">
        <v>43</v>
      </c>
      <c r="J21" s="23" t="str">
        <f t="shared" si="4"/>
        <v/>
      </c>
      <c r="K21" s="109"/>
    </row>
    <row r="22" spans="1:11" s="1" customFormat="1" ht="14.25" x14ac:dyDescent="0.2">
      <c r="A22" s="17" t="s">
        <v>44</v>
      </c>
      <c r="B22" s="18"/>
      <c r="C22" s="18"/>
      <c r="D22" s="18"/>
      <c r="E22" s="19" t="str">
        <f t="shared" si="0"/>
        <v/>
      </c>
      <c r="F22" s="20" t="str">
        <f t="shared" si="1"/>
        <v/>
      </c>
      <c r="G22" s="21" t="str">
        <f t="shared" si="2"/>
        <v/>
      </c>
      <c r="H22" s="19" t="str">
        <f t="shared" si="3"/>
        <v/>
      </c>
      <c r="I22" s="22" t="s">
        <v>43</v>
      </c>
      <c r="J22" s="23" t="str">
        <f t="shared" si="4"/>
        <v/>
      </c>
      <c r="K22" s="109"/>
    </row>
    <row r="23" spans="1:11" s="1" customFormat="1" ht="14.25" x14ac:dyDescent="0.2">
      <c r="A23" s="28" t="s">
        <v>45</v>
      </c>
      <c r="B23" s="29"/>
      <c r="C23" s="29"/>
      <c r="D23" s="29"/>
      <c r="E23" s="19" t="str">
        <f t="shared" si="0"/>
        <v/>
      </c>
      <c r="F23" s="20" t="str">
        <f t="shared" si="1"/>
        <v/>
      </c>
      <c r="G23" s="21" t="str">
        <f t="shared" si="2"/>
        <v/>
      </c>
      <c r="H23" s="19" t="str">
        <f t="shared" si="3"/>
        <v/>
      </c>
      <c r="I23" s="22" t="s">
        <v>43</v>
      </c>
      <c r="J23" s="23" t="str">
        <f t="shared" si="4"/>
        <v/>
      </c>
      <c r="K23" s="109"/>
    </row>
    <row r="24" spans="1:11" s="1" customFormat="1" ht="14.25" x14ac:dyDescent="0.2">
      <c r="A24" s="17" t="s">
        <v>46</v>
      </c>
      <c r="B24" s="18"/>
      <c r="C24" s="18"/>
      <c r="D24" s="18"/>
      <c r="E24" s="19" t="str">
        <f t="shared" si="0"/>
        <v/>
      </c>
      <c r="F24" s="20" t="str">
        <f t="shared" si="1"/>
        <v/>
      </c>
      <c r="G24" s="21" t="str">
        <f t="shared" si="2"/>
        <v/>
      </c>
      <c r="H24" s="19" t="str">
        <f t="shared" si="3"/>
        <v/>
      </c>
      <c r="I24" s="22" t="s">
        <v>43</v>
      </c>
      <c r="J24" s="23" t="str">
        <f t="shared" si="4"/>
        <v/>
      </c>
      <c r="K24" s="109"/>
    </row>
    <row r="25" spans="1:11" s="1" customFormat="1" ht="14.25" x14ac:dyDescent="0.2">
      <c r="A25" s="28" t="s">
        <v>47</v>
      </c>
      <c r="B25" s="29"/>
      <c r="C25" s="29"/>
      <c r="D25" s="29"/>
      <c r="E25" s="19" t="str">
        <f t="shared" si="0"/>
        <v/>
      </c>
      <c r="F25" s="20" t="str">
        <f t="shared" si="1"/>
        <v/>
      </c>
      <c r="G25" s="21" t="str">
        <f t="shared" si="2"/>
        <v/>
      </c>
      <c r="H25" s="19" t="str">
        <f t="shared" si="3"/>
        <v/>
      </c>
      <c r="I25" s="22" t="s">
        <v>33</v>
      </c>
      <c r="J25" s="23" t="str">
        <f t="shared" si="4"/>
        <v/>
      </c>
      <c r="K25" s="109"/>
    </row>
    <row r="26" spans="1:11" s="1" customFormat="1" ht="14.25" x14ac:dyDescent="0.2">
      <c r="A26" s="17" t="s">
        <v>48</v>
      </c>
      <c r="B26" s="18"/>
      <c r="C26" s="18"/>
      <c r="D26" s="18"/>
      <c r="E26" s="19" t="str">
        <f t="shared" si="0"/>
        <v/>
      </c>
      <c r="F26" s="20" t="str">
        <f t="shared" si="1"/>
        <v/>
      </c>
      <c r="G26" s="21" t="str">
        <f t="shared" si="2"/>
        <v/>
      </c>
      <c r="H26" s="19" t="str">
        <f t="shared" si="3"/>
        <v/>
      </c>
      <c r="I26" s="22" t="s">
        <v>43</v>
      </c>
      <c r="J26" s="23" t="str">
        <f t="shared" si="4"/>
        <v/>
      </c>
      <c r="K26" s="109"/>
    </row>
    <row r="27" spans="1:11" s="1" customFormat="1" ht="14.25" x14ac:dyDescent="0.2">
      <c r="A27" s="30" t="s">
        <v>49</v>
      </c>
      <c r="B27" s="31">
        <f>SUM(B12:B26)</f>
        <v>0</v>
      </c>
      <c r="C27" s="32">
        <f>SUM(C12:C26)</f>
        <v>0</v>
      </c>
      <c r="D27" s="32">
        <f>SUM(D12:D26)</f>
        <v>0</v>
      </c>
      <c r="E27" s="33">
        <f>IF(D27="","",IF(C27&lt;&gt;"",C27,D27*0+B27)-D27)</f>
        <v>0</v>
      </c>
      <c r="F27" s="34">
        <f>SUM(F12:F26)</f>
        <v>0</v>
      </c>
      <c r="G27" s="33">
        <f>SUM(G12:G26)</f>
        <v>0</v>
      </c>
      <c r="H27" s="33">
        <f t="shared" si="3"/>
        <v>0</v>
      </c>
      <c r="I27" s="35"/>
      <c r="J27" s="36" t="str">
        <f>IF(AND(B27="",C27="",D27=""),"",IF(E27&lt;0,"Overspent",IF(AND(F27="",G27=""),"No Change",IF(H27&lt;&gt;C27,"Check Balance","Updated"))))</f>
        <v>Updated</v>
      </c>
      <c r="K27" s="109"/>
    </row>
    <row r="28" spans="1:11" s="1" customFormat="1" ht="14.25" x14ac:dyDescent="0.2">
      <c r="A28" s="24" t="s">
        <v>50</v>
      </c>
      <c r="B28" s="37">
        <f>M3*$H$9</f>
        <v>0</v>
      </c>
      <c r="C28" s="38">
        <f>M4*$H$9</f>
        <v>0</v>
      </c>
      <c r="D28" s="38">
        <f>M5*$H$9</f>
        <v>0</v>
      </c>
      <c r="E28" s="39">
        <f>IF(D28="","",IF(C28&lt;&gt;"",C28,D28*0+B28)-D28)</f>
        <v>0</v>
      </c>
      <c r="F28" s="40"/>
      <c r="G28" s="39"/>
      <c r="H28" s="41">
        <f>IF(C28="","",C28)</f>
        <v>0</v>
      </c>
      <c r="I28" s="42"/>
      <c r="J28" s="43" t="str">
        <f>IF(AND(B28="",C28="",D28=""),"",IF(E28&lt;0,"Overspent",IF(H28&lt;&gt;C28,"Check Balance","Calculated")))</f>
        <v>Calculated</v>
      </c>
      <c r="K28" s="109"/>
    </row>
    <row r="29" spans="1:11" s="1" customFormat="1" ht="14.25" x14ac:dyDescent="0.2">
      <c r="A29" s="17" t="s">
        <v>51</v>
      </c>
      <c r="B29" s="29"/>
      <c r="C29" s="18"/>
      <c r="D29" s="18"/>
      <c r="E29" s="44" t="str">
        <f>IF(D29="","",IF(C29&lt;&gt;"",C29,D29*0+B29)-D29)</f>
        <v/>
      </c>
      <c r="F29" s="45" t="str">
        <f>IF(OR(B29="",C29=""),"",IF(C29&lt;B29,B29-C29,""))</f>
        <v/>
      </c>
      <c r="G29" s="21" t="str">
        <f>IF(OR(B29="",C29=""),"",IF(C29&gt;B29,C29-B29,""))</f>
        <v/>
      </c>
      <c r="H29" s="46" t="str">
        <f t="shared" si="3"/>
        <v/>
      </c>
      <c r="I29" s="47"/>
      <c r="J29" s="48" t="str">
        <f>IF(AND(B29="",C29="",D29=""),"",IF(E29&lt;0,"Overspent",IF(AND(F29="",G29=""),"No Change",IF(H29&lt;&gt;C29,"Check Balance","Rebudgeted"))))</f>
        <v/>
      </c>
      <c r="K29" s="109"/>
    </row>
    <row r="30" spans="1:11" s="1" customFormat="1" ht="14.25" x14ac:dyDescent="0.2">
      <c r="A30" s="49" t="s">
        <v>52</v>
      </c>
      <c r="B30" s="50"/>
      <c r="C30" s="50"/>
      <c r="D30" s="50"/>
      <c r="E30" s="51" t="str">
        <f>IF(D30="","",IF(C30&lt;&gt;"",C30,D30*0+B30)-D30)</f>
        <v/>
      </c>
      <c r="F30" s="52" t="str">
        <f>IF(OR(B30="",C30=""),"",IF(C30&lt;B30,B30-C30,""))</f>
        <v/>
      </c>
      <c r="G30" s="53" t="str">
        <f>IF(OR(B30="",C30=""),"",IF(C30&gt;B30,C30-B30,""))</f>
        <v/>
      </c>
      <c r="H30" s="54" t="str">
        <f t="shared" si="3"/>
        <v/>
      </c>
      <c r="I30" s="55"/>
      <c r="J30" s="56" t="str">
        <f>IF(AND(B30="",C30="",D30=""),"",IF(E30&lt;0,"Overspent",IF(AND(F30="",G30=""),"No Change",IF(H30&lt;&gt;C30,"Check Balance","Rebudgeted"))))</f>
        <v/>
      </c>
      <c r="K30" s="109"/>
    </row>
    <row r="31" spans="1:11" s="1" customFormat="1" ht="15.75" customHeight="1" thickBot="1" x14ac:dyDescent="0.25">
      <c r="A31" s="57" t="s">
        <v>53</v>
      </c>
      <c r="B31" s="58">
        <f>B27+B28+B29+B30</f>
        <v>0</v>
      </c>
      <c r="C31" s="59">
        <f>C27+C28+C29+C30</f>
        <v>0</v>
      </c>
      <c r="D31" s="59">
        <f>D27+D28+D29+D30</f>
        <v>0</v>
      </c>
      <c r="E31" s="60">
        <f>IF(D31="","",IF(C31&lt;&gt;"",C31,D31*0+B31)-D31)</f>
        <v>0</v>
      </c>
      <c r="F31" s="61">
        <f>SUM(F27:F30)</f>
        <v>0</v>
      </c>
      <c r="G31" s="62">
        <f>SUM(G27:G30)</f>
        <v>0</v>
      </c>
      <c r="H31" s="60">
        <f>IF(B31="","",SUM(H27:H30))</f>
        <v>0</v>
      </c>
      <c r="I31" s="63"/>
      <c r="J31" s="64" t="str">
        <f>IF(AND(B31="",C31="",D31=""),"",IF(E31&lt;0,"Overspent",IF(AND(F31="",G31=""),"No Change",IF(H31&lt;&gt;C31,"Check Balance","Updated"))))</f>
        <v>Updated</v>
      </c>
      <c r="K31" s="109"/>
    </row>
    <row r="32" spans="1:11" s="1" customFormat="1" thickBot="1" x14ac:dyDescent="0.25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109"/>
    </row>
    <row r="33" spans="1:11" s="1" customFormat="1" ht="15.75" x14ac:dyDescent="0.25">
      <c r="A33" s="70" t="s">
        <v>54</v>
      </c>
      <c r="B33" s="71"/>
      <c r="C33" s="71"/>
      <c r="D33" s="71"/>
      <c r="E33" s="71"/>
      <c r="F33" s="71"/>
      <c r="G33" s="71"/>
      <c r="H33" s="71"/>
      <c r="I33" s="71"/>
      <c r="J33" s="72"/>
      <c r="K33" s="110"/>
    </row>
    <row r="34" spans="1:11" ht="100.5" customHeight="1" thickBot="1" x14ac:dyDescent="0.3">
      <c r="A34" s="73"/>
      <c r="B34" s="74"/>
      <c r="C34" s="74"/>
      <c r="D34" s="74"/>
      <c r="E34" s="74"/>
      <c r="F34" s="74"/>
      <c r="G34" s="74"/>
      <c r="H34" s="74"/>
      <c r="I34" s="74"/>
      <c r="J34" s="75"/>
      <c r="K34" s="111"/>
    </row>
    <row r="35" spans="1:11" ht="22.5" customHeight="1" x14ac:dyDescent="0.25">
      <c r="A35" s="76" t="s">
        <v>55</v>
      </c>
      <c r="B35" s="76"/>
      <c r="C35" s="76"/>
      <c r="D35" s="76"/>
      <c r="E35" s="76"/>
      <c r="F35" s="76"/>
      <c r="G35" s="76"/>
      <c r="H35" s="76"/>
      <c r="I35" s="76"/>
      <c r="J35" s="76"/>
      <c r="K35" s="111"/>
    </row>
    <row r="36" spans="1:11" s="65" customFormat="1" x14ac:dyDescent="0.25"/>
    <row r="37" spans="1:11" s="65" customFormat="1" x14ac:dyDescent="0.25"/>
    <row r="38" spans="1:11" s="65" customFormat="1" x14ac:dyDescent="0.25"/>
    <row r="39" spans="1:11" s="65" customFormat="1" x14ac:dyDescent="0.25"/>
    <row r="40" spans="1:11" s="65" customFormat="1" x14ac:dyDescent="0.25"/>
    <row r="41" spans="1:11" s="65" customFormat="1" x14ac:dyDescent="0.25"/>
    <row r="42" spans="1:11" s="65" customFormat="1" x14ac:dyDescent="0.25"/>
    <row r="43" spans="1:11" s="65" customFormat="1" x14ac:dyDescent="0.25"/>
    <row r="44" spans="1:11" s="65" customFormat="1" x14ac:dyDescent="0.25"/>
    <row r="45" spans="1:11" s="65" customFormat="1" x14ac:dyDescent="0.25"/>
    <row r="46" spans="1:11" s="65" customFormat="1" x14ac:dyDescent="0.25"/>
    <row r="47" spans="1:11" s="65" customFormat="1" x14ac:dyDescent="0.25"/>
    <row r="48" spans="1:11" s="65" customFormat="1" x14ac:dyDescent="0.25"/>
    <row r="49" s="65" customFormat="1" x14ac:dyDescent="0.25"/>
    <row r="50" s="65" customFormat="1" x14ac:dyDescent="0.25"/>
  </sheetData>
  <sheetProtection algorithmName="SHA-512" hashValue="QvF7NH9AYjS7UTu+mwraOy8/O0TD7aP6I+cyOnVBoG7pNNaqnAIvannvwdgoQtYuXHla6SyXTOYQldhDVc8V5Q==" saltValue="Ge+EqfAyka/NjvYqTryYvg==" spinCount="100000" sheet="1" selectLockedCells="1"/>
  <mergeCells count="30">
    <mergeCell ref="A1:J1"/>
    <mergeCell ref="B2:D2"/>
    <mergeCell ref="F2:J2"/>
    <mergeCell ref="L2:M2"/>
    <mergeCell ref="B3:D3"/>
    <mergeCell ref="F3:G3"/>
    <mergeCell ref="H3:J3"/>
    <mergeCell ref="B4:D4"/>
    <mergeCell ref="F4:G4"/>
    <mergeCell ref="H4:J4"/>
    <mergeCell ref="B5:D5"/>
    <mergeCell ref="F5:G5"/>
    <mergeCell ref="H5:J5"/>
    <mergeCell ref="B6:D6"/>
    <mergeCell ref="F6:G6"/>
    <mergeCell ref="H6:J6"/>
    <mergeCell ref="B7:D7"/>
    <mergeCell ref="F7:G7"/>
    <mergeCell ref="H7:J7"/>
    <mergeCell ref="B8:D8"/>
    <mergeCell ref="F8:G8"/>
    <mergeCell ref="H8:J8"/>
    <mergeCell ref="B9:D9"/>
    <mergeCell ref="F9:G9"/>
    <mergeCell ref="H9:J9"/>
    <mergeCell ref="A10:J10"/>
    <mergeCell ref="A32:J32"/>
    <mergeCell ref="A33:J33"/>
    <mergeCell ref="A34:J34"/>
    <mergeCell ref="A35:J35"/>
  </mergeCells>
  <conditionalFormatting sqref="E12:E30">
    <cfRule type="cellIs" dxfId="5" priority="1" operator="lessThan">
      <formula>0</formula>
    </cfRule>
  </conditionalFormatting>
  <conditionalFormatting sqref="F12:F30">
    <cfRule type="cellIs" dxfId="4" priority="4" operator="between">
      <formula>0.5</formula>
      <formula>0.85</formula>
    </cfRule>
    <cfRule type="cellIs" dxfId="3" priority="5" operator="greaterThan">
      <formula>0.85</formula>
    </cfRule>
    <cfRule type="cellIs" dxfId="2" priority="6" operator="lessThan">
      <formula>0.5</formula>
    </cfRule>
  </conditionalFormatting>
  <conditionalFormatting sqref="J12:J31">
    <cfRule type="expression" dxfId="1" priority="2">
      <formula>ISNUMBER(SEARCH("Cannot",J12))</formula>
    </cfRule>
    <cfRule type="expression" dxfId="0" priority="3">
      <formula>J12="Overspent"</formula>
    </cfRule>
  </conditionalFormatting>
  <dataValidations count="3">
    <dataValidation type="list" allowBlank="1" showInputMessage="1" showErrorMessage="1" sqref="I12:I26" xr:uid="{C205DD94-D1CA-4224-B124-870A86AB4AFB}">
      <formula1>"Yes,No, "</formula1>
    </dataValidation>
    <dataValidation type="list" sqref="B8" xr:uid="{7DFCB3C4-A34D-4E1C-9C02-1AC51FA5ED12}">
      <formula1>"Yes,No"</formula1>
    </dataValidation>
    <dataValidation type="list" sqref="B9" xr:uid="{A139FB44-80C0-46BC-ADAE-CDC32A5462A4}">
      <formula1>"Yes,No,Unsure"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Rebudget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Gruber, Katherine A</dc:creator>
  <cp:lastModifiedBy>Gruber, Katherine A</cp:lastModifiedBy>
  <dcterms:created xsi:type="dcterms:W3CDTF">2026-04-07T20:14:11Z</dcterms:created>
  <dcterms:modified xsi:type="dcterms:W3CDTF">2026-04-07T22:14:29Z</dcterms:modified>
</cp:coreProperties>
</file>